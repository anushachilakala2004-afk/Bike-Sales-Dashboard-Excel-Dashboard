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9.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0.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1.xml" ContentType="application/vnd.openxmlformats-officedocument.spreadsheetml.pivotTable+xml"/>
  <Override PartName="/xl/drawings/drawing4.xml" ContentType="application/vnd.openxmlformats-officedocument.drawing+xml"/>
  <Override PartName="/xl/tables/table2.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c3f265ac8c6a710d/Documents/"/>
    </mc:Choice>
  </mc:AlternateContent>
  <xr:revisionPtr revIDLastSave="0" documentId="8_{C1298F95-A81E-4BEB-888D-9B05783E9175}" xr6:coauthVersionLast="47" xr6:coauthVersionMax="47" xr10:uidLastSave="{00000000-0000-0000-0000-000000000000}"/>
  <bookViews>
    <workbookView xWindow="-108" yWindow="-108" windowWidth="23256" windowHeight="12456" activeTab="1" xr2:uid="{5E106955-7C2C-4B15-B121-2D5B8DF7BD3A}"/>
  </bookViews>
  <sheets>
    <sheet name="Detail1" sheetId="14" r:id="rId1"/>
    <sheet name="Sheet2" sheetId="2" r:id="rId2"/>
    <sheet name="Sheet6" sheetId="6" r:id="rId3"/>
    <sheet name="Sheet9" sheetId="10" r:id="rId4"/>
    <sheet name="Sheet11" sheetId="12" r:id="rId5"/>
    <sheet name="Sheet12" sheetId="13" r:id="rId6"/>
    <sheet name="Sheet1" sheetId="1" r:id="rId7"/>
    <sheet name="Sheet8" sheetId="9" r:id="rId8"/>
  </sheets>
  <definedNames>
    <definedName name="Slicer_Education">#N/A</definedName>
    <definedName name="Slicer_Gender">#N/A</definedName>
    <definedName name="Slicer_Marital_Status">#N/A</definedName>
    <definedName name="Slicer_Purchased_Bike">#N/A</definedName>
    <definedName name="Slicer_Region">#N/A</definedName>
  </definedNames>
  <calcPr calcId="191029"/>
  <pivotCaches>
    <pivotCache cacheId="0" r:id="rId9"/>
    <pivotCache cacheId="1" r:id="rId10"/>
    <pivotCache cacheId="2" r:id="rId11"/>
    <pivotCache cacheId="3" r:id="rId12"/>
    <pivotCache cacheId="4" r:id="rId13"/>
  </pivotCaches>
  <extLst>
    <ext xmlns:x14="http://schemas.microsoft.com/office/spreadsheetml/2009/9/main" uri="{BBE1A952-AA13-448e-AADC-164F8A28A991}">
      <x14:slicerCaches>
        <x14:slicerCache r:id="rId14"/>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2" i="1" l="1"/>
  <c r="C17" i="1"/>
  <c r="C15" i="1"/>
  <c r="C14" i="1"/>
  <c r="O3" i="1"/>
  <c r="O4" i="1"/>
  <c r="O5" i="1"/>
  <c r="O6" i="1"/>
  <c r="O7" i="1"/>
  <c r="O8" i="1"/>
  <c r="O9" i="1"/>
  <c r="O10" i="1"/>
  <c r="O11" i="1"/>
  <c r="C16" i="1"/>
</calcChain>
</file>

<file path=xl/sharedStrings.xml><?xml version="1.0" encoding="utf-8"?>
<sst xmlns="http://schemas.openxmlformats.org/spreadsheetml/2006/main" count="312" uniqueCount="70">
  <si>
    <t>Customer ID</t>
  </si>
  <si>
    <t>Customer Name</t>
  </si>
  <si>
    <t>Marital Status</t>
  </si>
  <si>
    <t>Gender</t>
  </si>
  <si>
    <t>Income</t>
  </si>
  <si>
    <t>Children</t>
  </si>
  <si>
    <t>Education</t>
  </si>
  <si>
    <t>Occupation</t>
  </si>
  <si>
    <t>Home Owner</t>
  </si>
  <si>
    <t>Cars</t>
  </si>
  <si>
    <t>Commute Distance</t>
  </si>
  <si>
    <t>Region</t>
  </si>
  <si>
    <t>Age</t>
  </si>
  <si>
    <t>Purchased Bike</t>
  </si>
  <si>
    <t>Rahul Sharma</t>
  </si>
  <si>
    <t>Married</t>
  </si>
  <si>
    <t>Male</t>
  </si>
  <si>
    <t>Bachelors</t>
  </si>
  <si>
    <t>Professional</t>
  </si>
  <si>
    <t>Yes</t>
  </si>
  <si>
    <t>2-5 Miles</t>
  </si>
  <si>
    <t>North America</t>
  </si>
  <si>
    <t>Priya Reddy</t>
  </si>
  <si>
    <t>Single</t>
  </si>
  <si>
    <t>Female</t>
  </si>
  <si>
    <t>Graduate Degree</t>
  </si>
  <si>
    <t>Clerical</t>
  </si>
  <si>
    <t>No</t>
  </si>
  <si>
    <t>5-10 Miles</t>
  </si>
  <si>
    <t>Europe</t>
  </si>
  <si>
    <t>Arjun Kumar</t>
  </si>
  <si>
    <t>Management</t>
  </si>
  <si>
    <t>0-1 Miles</t>
  </si>
  <si>
    <t>Sneha Rao</t>
  </si>
  <si>
    <t>Partial College</t>
  </si>
  <si>
    <t>Pacific</t>
  </si>
  <si>
    <t>Vikram Singh</t>
  </si>
  <si>
    <t>High School</t>
  </si>
  <si>
    <t>Skilled Manual</t>
  </si>
  <si>
    <t>10+ Miles</t>
  </si>
  <si>
    <t>Ananya Patel</t>
  </si>
  <si>
    <t>Rohan Gupta</t>
  </si>
  <si>
    <t>Kavya Naidu</t>
  </si>
  <si>
    <t>Aditya Rao</t>
  </si>
  <si>
    <t>Manual</t>
  </si>
  <si>
    <t>Meera Iyer</t>
  </si>
  <si>
    <t>Age Group</t>
  </si>
  <si>
    <t>Column Labels</t>
  </si>
  <si>
    <t>Grand Total</t>
  </si>
  <si>
    <t>Row Labels</t>
  </si>
  <si>
    <t>31-54</t>
  </si>
  <si>
    <t>55+</t>
  </si>
  <si>
    <t>under 31</t>
  </si>
  <si>
    <t>Average of Income</t>
  </si>
  <si>
    <t>Bike Purchase by Gender</t>
  </si>
  <si>
    <t>Bike Purchase by Region</t>
  </si>
  <si>
    <t>Bike Purchase by Commute Distance</t>
  </si>
  <si>
    <t>Bike Purchase by Age Group</t>
  </si>
  <si>
    <t>Bike Purchase by Occupation</t>
  </si>
  <si>
    <t>Average Income by Gender &amp; Bike Purchase</t>
  </si>
  <si>
    <t>Total Customers</t>
  </si>
  <si>
    <t>Bike Purchasers</t>
  </si>
  <si>
    <t>Purchase %</t>
  </si>
  <si>
    <t>Average Income</t>
  </si>
  <si>
    <t>Count of Gender</t>
  </si>
  <si>
    <t>Count of Age Group</t>
  </si>
  <si>
    <t>Count of Region</t>
  </si>
  <si>
    <t>Count of Commute Distance</t>
  </si>
  <si>
    <t>Details for Average of Income</t>
  </si>
  <si>
    <t>Count of Customer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</si>
</sst>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4A]#,##0.00"/>
    <numFmt numFmtId="165" formatCode="[$₹-44A]#,##0"/>
  </numFmts>
  <fonts count="5" x14ac:knownFonts="1">
    <font>
      <sz val="11"/>
      <color theme="1"/>
      <name val="Calibri"/>
      <family val="2"/>
      <scheme val="minor"/>
    </font>
    <font>
      <sz val="11"/>
      <color theme="1"/>
      <name val="Calibri"/>
      <family val="2"/>
      <scheme val="minor"/>
    </font>
    <font>
      <b/>
      <sz val="11"/>
      <color theme="1"/>
      <name val="Calibri"/>
      <family val="2"/>
      <scheme val="minor"/>
    </font>
    <font>
      <sz val="14"/>
      <color theme="1"/>
      <name val="Calibri"/>
      <family val="2"/>
      <scheme val="minor"/>
    </font>
    <font>
      <b/>
      <sz val="14"/>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0" fontId="2" fillId="0" borderId="0" xfId="0" applyFont="1" applyAlignment="1">
      <alignment horizontal="center" wrapText="1"/>
    </xf>
    <xf numFmtId="0" fontId="0" fillId="0" borderId="0" xfId="0" applyAlignment="1">
      <alignment horizontal="center" wrapText="1"/>
    </xf>
    <xf numFmtId="164" fontId="2" fillId="0" borderId="0" xfId="0" applyNumberFormat="1" applyFont="1" applyAlignment="1">
      <alignment horizontal="center" wrapText="1"/>
    </xf>
    <xf numFmtId="1" fontId="0" fillId="0" borderId="0" xfId="0" applyNumberFormat="1" applyAlignment="1">
      <alignment horizontal="center" wrapText="1"/>
    </xf>
    <xf numFmtId="165" fontId="0" fillId="0" borderId="0" xfId="0" applyNumberFormat="1" applyAlignment="1">
      <alignment horizontal="center" wrapText="1"/>
    </xf>
    <xf numFmtId="0" fontId="0" fillId="0" borderId="0" xfId="0" pivotButton="1"/>
    <xf numFmtId="0" fontId="0" fillId="0" borderId="0" xfId="0" applyAlignment="1">
      <alignment horizontal="left"/>
    </xf>
    <xf numFmtId="165" fontId="0" fillId="0" borderId="0" xfId="0" applyNumberFormat="1"/>
    <xf numFmtId="0" fontId="2" fillId="0" borderId="0" xfId="0" applyFont="1"/>
    <xf numFmtId="0" fontId="3" fillId="0" borderId="0" xfId="0" applyFont="1"/>
    <xf numFmtId="0" fontId="4" fillId="0" borderId="0" xfId="0" applyFont="1"/>
    <xf numFmtId="9" fontId="0" fillId="0" borderId="0" xfId="1" applyFont="1"/>
    <xf numFmtId="10" fontId="0" fillId="0" borderId="0" xfId="1" applyNumberFormat="1" applyFont="1"/>
  </cellXfs>
  <cellStyles count="2">
    <cellStyle name="Normal" xfId="0" builtinId="0"/>
    <cellStyle name="Percent" xfId="1" builtinId="5"/>
  </cellStyles>
  <dxfs count="17">
    <dxf>
      <numFmt numFmtId="0" formatCode="General"/>
      <alignment horizontal="center" vertical="bottom" textRotation="0" wrapText="1" indent="0" justifyLastLine="0" shrinkToFit="0" readingOrder="0"/>
    </dxf>
    <dxf>
      <alignment horizontal="center" vertical="bottom" textRotation="0" wrapText="1" indent="0" justifyLastLine="0" shrinkToFit="0" readingOrder="0"/>
    </dxf>
    <dxf>
      <numFmt numFmtId="1" formatCode="0"/>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numFmt numFmtId="165" formatCode="[$₹-44A]#,##0"/>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pivotCacheDefinition" Target="pivotCache/pivotCacheDefinition2.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1.xlsx]Sheet9!PivotTable9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469816272965875E-2"/>
          <c:y val="0.20598388743073781"/>
          <c:w val="0.9155301837270341"/>
          <c:h val="0.53774387576552929"/>
        </c:manualLayout>
      </c:layout>
      <c:barChart>
        <c:barDir val="col"/>
        <c:grouping val="clustered"/>
        <c:varyColors val="0"/>
        <c:ser>
          <c:idx val="0"/>
          <c:order val="0"/>
          <c:tx>
            <c:strRef>
              <c:f>Sheet9!$B$3</c:f>
              <c:strCache>
                <c:ptCount val="1"/>
                <c:pt idx="0">
                  <c:v>Total</c:v>
                </c:pt>
              </c:strCache>
            </c:strRef>
          </c:tx>
          <c:spPr>
            <a:solidFill>
              <a:schemeClr val="accent1"/>
            </a:solidFill>
            <a:ln>
              <a:noFill/>
            </a:ln>
            <a:effectLst/>
          </c:spPr>
          <c:invertIfNegative val="0"/>
          <c:cat>
            <c:strRef>
              <c:f>Sheet9!$A$4:$A$5</c:f>
              <c:strCache>
                <c:ptCount val="2"/>
                <c:pt idx="0">
                  <c:v>Female</c:v>
                </c:pt>
                <c:pt idx="1">
                  <c:v>Male</c:v>
                </c:pt>
              </c:strCache>
            </c:strRef>
          </c:cat>
          <c:val>
            <c:numRef>
              <c:f>Sheet9!$B$4:$B$5</c:f>
              <c:numCache>
                <c:formatCode>General</c:formatCode>
                <c:ptCount val="2"/>
                <c:pt idx="0">
                  <c:v>5</c:v>
                </c:pt>
                <c:pt idx="1">
                  <c:v>5</c:v>
                </c:pt>
              </c:numCache>
            </c:numRef>
          </c:val>
          <c:extLst>
            <c:ext xmlns:c16="http://schemas.microsoft.com/office/drawing/2014/chart" uri="{C3380CC4-5D6E-409C-BE32-E72D297353CC}">
              <c16:uniqueId val="{00000000-257E-4D5F-9923-5C2C275F40F8}"/>
            </c:ext>
          </c:extLst>
        </c:ser>
        <c:dLbls>
          <c:showLegendKey val="0"/>
          <c:showVal val="0"/>
          <c:showCatName val="0"/>
          <c:showSerName val="0"/>
          <c:showPercent val="0"/>
          <c:showBubbleSize val="0"/>
        </c:dLbls>
        <c:gapWidth val="219"/>
        <c:overlap val="-27"/>
        <c:axId val="126980976"/>
        <c:axId val="94206768"/>
      </c:barChart>
      <c:catAx>
        <c:axId val="126980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206768"/>
        <c:crosses val="autoZero"/>
        <c:auto val="1"/>
        <c:lblAlgn val="ctr"/>
        <c:lblOffset val="100"/>
        <c:noMultiLvlLbl val="0"/>
      </c:catAx>
      <c:valAx>
        <c:axId val="94206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9809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3"/>
              <c:pt idx="0">
                <c:v>31-54</c:v>
              </c:pt>
              <c:pt idx="1">
                <c:v>55+</c:v>
              </c:pt>
              <c:pt idx="2">
                <c:v>under 31</c:v>
              </c:pt>
            </c:strLit>
          </c:cat>
          <c:val>
            <c:numLit>
              <c:formatCode>General</c:formatCode>
              <c:ptCount val="3"/>
              <c:pt idx="0">
                <c:v>6</c:v>
              </c:pt>
              <c:pt idx="1">
                <c:v>2</c:v>
              </c:pt>
              <c:pt idx="2">
                <c:v>2</c:v>
              </c:pt>
            </c:numLit>
          </c:val>
          <c:extLst>
            <c:ext xmlns:c16="http://schemas.microsoft.com/office/drawing/2014/chart" uri="{C3380CC4-5D6E-409C-BE32-E72D297353CC}">
              <c16:uniqueId val="{00000000-9295-43F9-B74F-AFA3DC1EC1AF}"/>
            </c:ext>
          </c:extLst>
        </c:ser>
        <c:dLbls>
          <c:showLegendKey val="0"/>
          <c:showVal val="0"/>
          <c:showCatName val="0"/>
          <c:showSerName val="0"/>
          <c:showPercent val="0"/>
          <c:showBubbleSize val="0"/>
        </c:dLbls>
        <c:gapWidth val="219"/>
        <c:overlap val="-27"/>
        <c:axId val="94361952"/>
        <c:axId val="94153008"/>
      </c:barChart>
      <c:catAx>
        <c:axId val="94361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53008"/>
        <c:crosses val="autoZero"/>
        <c:auto val="1"/>
        <c:lblAlgn val="ctr"/>
        <c:lblOffset val="100"/>
        <c:noMultiLvlLbl val="0"/>
      </c:catAx>
      <c:valAx>
        <c:axId val="94153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3619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1.xlsx]Sheet11!PivotTable16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Sheet11!$B$3</c:f>
              <c:strCache>
                <c:ptCount val="1"/>
                <c:pt idx="0">
                  <c:v>Total</c:v>
                </c:pt>
              </c:strCache>
            </c:strRef>
          </c:tx>
          <c:spPr>
            <a:solidFill>
              <a:schemeClr val="accent1"/>
            </a:solidFill>
            <a:ln>
              <a:noFill/>
            </a:ln>
            <a:effectLst/>
          </c:spPr>
          <c:invertIfNegative val="0"/>
          <c:cat>
            <c:strRef>
              <c:f>Sheet11!$A$4:$A$6</c:f>
              <c:strCache>
                <c:ptCount val="3"/>
                <c:pt idx="0">
                  <c:v>Europe</c:v>
                </c:pt>
                <c:pt idx="1">
                  <c:v>North America</c:v>
                </c:pt>
                <c:pt idx="2">
                  <c:v>Pacific</c:v>
                </c:pt>
              </c:strCache>
            </c:strRef>
          </c:cat>
          <c:val>
            <c:numRef>
              <c:f>Sheet11!$B$4:$B$6</c:f>
              <c:numCache>
                <c:formatCode>General</c:formatCode>
                <c:ptCount val="3"/>
                <c:pt idx="0">
                  <c:v>3</c:v>
                </c:pt>
                <c:pt idx="1">
                  <c:v>4</c:v>
                </c:pt>
                <c:pt idx="2">
                  <c:v>3</c:v>
                </c:pt>
              </c:numCache>
            </c:numRef>
          </c:val>
          <c:extLst>
            <c:ext xmlns:c16="http://schemas.microsoft.com/office/drawing/2014/chart" uri="{C3380CC4-5D6E-409C-BE32-E72D297353CC}">
              <c16:uniqueId val="{00000000-41CC-468D-9186-157A8039914C}"/>
            </c:ext>
          </c:extLst>
        </c:ser>
        <c:dLbls>
          <c:showLegendKey val="0"/>
          <c:showVal val="0"/>
          <c:showCatName val="0"/>
          <c:showSerName val="0"/>
          <c:showPercent val="0"/>
          <c:showBubbleSize val="0"/>
        </c:dLbls>
        <c:gapWidth val="219"/>
        <c:overlap val="-27"/>
        <c:axId val="133481216"/>
        <c:axId val="94125168"/>
      </c:barChart>
      <c:catAx>
        <c:axId val="133481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25168"/>
        <c:crosses val="autoZero"/>
        <c:auto val="1"/>
        <c:lblAlgn val="ctr"/>
        <c:lblOffset val="100"/>
        <c:noMultiLvlLbl val="0"/>
      </c:catAx>
      <c:valAx>
        <c:axId val="94125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812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1.xlsx]Sheet12!PivotTable19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Commute Distance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Sheet12!$B$3</c:f>
              <c:strCache>
                <c:ptCount val="1"/>
                <c:pt idx="0">
                  <c:v>Total</c:v>
                </c:pt>
              </c:strCache>
            </c:strRef>
          </c:tx>
          <c:spPr>
            <a:solidFill>
              <a:schemeClr val="accent1"/>
            </a:solidFill>
            <a:ln>
              <a:noFill/>
            </a:ln>
            <a:effectLst/>
          </c:spPr>
          <c:invertIfNegative val="0"/>
          <c:cat>
            <c:strRef>
              <c:f>Sheet12!$A$4:$A$7</c:f>
              <c:strCache>
                <c:ptCount val="4"/>
                <c:pt idx="0">
                  <c:v>0-1 Miles</c:v>
                </c:pt>
                <c:pt idx="1">
                  <c:v>10+ Miles</c:v>
                </c:pt>
                <c:pt idx="2">
                  <c:v>2-5 Miles</c:v>
                </c:pt>
                <c:pt idx="3">
                  <c:v>5-10 Miles</c:v>
                </c:pt>
              </c:strCache>
            </c:strRef>
          </c:cat>
          <c:val>
            <c:numRef>
              <c:f>Sheet12!$B$4:$B$7</c:f>
              <c:numCache>
                <c:formatCode>General</c:formatCode>
                <c:ptCount val="4"/>
                <c:pt idx="0">
                  <c:v>3</c:v>
                </c:pt>
                <c:pt idx="1">
                  <c:v>2</c:v>
                </c:pt>
                <c:pt idx="2">
                  <c:v>3</c:v>
                </c:pt>
                <c:pt idx="3">
                  <c:v>2</c:v>
                </c:pt>
              </c:numCache>
            </c:numRef>
          </c:val>
          <c:extLst>
            <c:ext xmlns:c16="http://schemas.microsoft.com/office/drawing/2014/chart" uri="{C3380CC4-5D6E-409C-BE32-E72D297353CC}">
              <c16:uniqueId val="{00000000-DC05-4330-B5FE-A8BFBE6C259E}"/>
            </c:ext>
          </c:extLst>
        </c:ser>
        <c:dLbls>
          <c:showLegendKey val="0"/>
          <c:showVal val="0"/>
          <c:showCatName val="0"/>
          <c:showSerName val="0"/>
          <c:showPercent val="0"/>
          <c:showBubbleSize val="0"/>
        </c:dLbls>
        <c:gapWidth val="219"/>
        <c:overlap val="-27"/>
        <c:axId val="133543856"/>
        <c:axId val="94197168"/>
      </c:barChart>
      <c:catAx>
        <c:axId val="133543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97168"/>
        <c:crosses val="autoZero"/>
        <c:auto val="1"/>
        <c:lblAlgn val="ctr"/>
        <c:lblOffset val="100"/>
        <c:noMultiLvlLbl val="0"/>
      </c:catAx>
      <c:valAx>
        <c:axId val="94197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438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Sheet1!$E$1</c:f>
              <c:strCache>
                <c:ptCount val="1"/>
                <c:pt idx="0">
                  <c:v>Income</c:v>
                </c:pt>
              </c:strCache>
            </c:strRef>
          </c:tx>
          <c:spPr>
            <a:solidFill>
              <a:schemeClr val="accent1"/>
            </a:solidFill>
            <a:ln>
              <a:noFill/>
            </a:ln>
            <a:effectLst/>
          </c:spPr>
          <c:invertIfNegative val="0"/>
          <c:val>
            <c:numRef>
              <c:f>Sheet1!$E$2:$E$11</c:f>
              <c:numCache>
                <c:formatCode>[$₹-44A]#,##0</c:formatCode>
                <c:ptCount val="10"/>
                <c:pt idx="0">
                  <c:v>65000</c:v>
                </c:pt>
                <c:pt idx="1">
                  <c:v>48000</c:v>
                </c:pt>
                <c:pt idx="2">
                  <c:v>82000</c:v>
                </c:pt>
                <c:pt idx="3">
                  <c:v>55000</c:v>
                </c:pt>
                <c:pt idx="4">
                  <c:v>72000</c:v>
                </c:pt>
                <c:pt idx="5">
                  <c:v>39000</c:v>
                </c:pt>
                <c:pt idx="6">
                  <c:v>91000</c:v>
                </c:pt>
                <c:pt idx="7">
                  <c:v>62000</c:v>
                </c:pt>
                <c:pt idx="8">
                  <c:v>47000</c:v>
                </c:pt>
                <c:pt idx="9">
                  <c:v>70000</c:v>
                </c:pt>
              </c:numCache>
            </c:numRef>
          </c:val>
          <c:extLst>
            <c:ext xmlns:c16="http://schemas.microsoft.com/office/drawing/2014/chart" uri="{C3380CC4-5D6E-409C-BE32-E72D297353CC}">
              <c16:uniqueId val="{00000000-92EB-45AF-B69F-A80AE671CE1D}"/>
            </c:ext>
          </c:extLst>
        </c:ser>
        <c:dLbls>
          <c:showLegendKey val="0"/>
          <c:showVal val="0"/>
          <c:showCatName val="0"/>
          <c:showSerName val="0"/>
          <c:showPercent val="0"/>
          <c:showBubbleSize val="0"/>
        </c:dLbls>
        <c:gapWidth val="219"/>
        <c:overlap val="-27"/>
        <c:axId val="133458944"/>
        <c:axId val="94114128"/>
      </c:barChart>
      <c:catAx>
        <c:axId val="133458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14128"/>
        <c:crosses val="autoZero"/>
        <c:auto val="1"/>
        <c:lblAlgn val="ctr"/>
        <c:lblOffset val="100"/>
        <c:noMultiLvlLbl val="0"/>
      </c:catAx>
      <c:valAx>
        <c:axId val="94114128"/>
        <c:scaling>
          <c:orientation val="minMax"/>
        </c:scaling>
        <c:delete val="0"/>
        <c:axPos val="l"/>
        <c:majorGridlines>
          <c:spPr>
            <a:ln w="9525" cap="flat" cmpd="sng" algn="ctr">
              <a:solidFill>
                <a:schemeClr val="tx1">
                  <a:lumMod val="15000"/>
                  <a:lumOff val="85000"/>
                </a:schemeClr>
              </a:solidFill>
              <a:round/>
            </a:ln>
            <a:effectLst/>
          </c:spPr>
        </c:majorGridlines>
        <c:numFmt formatCode="[$₹-44A]#,##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589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image" Target="../media/image1.png"/><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38100</xdr:colOff>
      <xdr:row>5</xdr:row>
      <xdr:rowOff>110490</xdr:rowOff>
    </xdr:from>
    <xdr:to>
      <xdr:col>6</xdr:col>
      <xdr:colOff>502920</xdr:colOff>
      <xdr:row>20</xdr:row>
      <xdr:rowOff>110490</xdr:rowOff>
    </xdr:to>
    <xdr:graphicFrame macro="">
      <xdr:nvGraphicFramePr>
        <xdr:cNvPr id="2" name="Chart 1">
          <a:extLst>
            <a:ext uri="{FF2B5EF4-FFF2-40B4-BE49-F238E27FC236}">
              <a16:creationId xmlns:a16="http://schemas.microsoft.com/office/drawing/2014/main" id="{7253707D-4239-34BD-84C3-F4A97970BF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6</xdr:row>
      <xdr:rowOff>0</xdr:rowOff>
    </xdr:from>
    <xdr:to>
      <xdr:col>15</xdr:col>
      <xdr:colOff>304800</xdr:colOff>
      <xdr:row>21</xdr:row>
      <xdr:rowOff>0</xdr:rowOff>
    </xdr:to>
    <xdr:graphicFrame macro="">
      <xdr:nvGraphicFramePr>
        <xdr:cNvPr id="3" name="Chart 2">
          <a:extLst>
            <a:ext uri="{FF2B5EF4-FFF2-40B4-BE49-F238E27FC236}">
              <a16:creationId xmlns:a16="http://schemas.microsoft.com/office/drawing/2014/main" id="{7530A75B-51C2-4B03-8166-559897FFCF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30480</xdr:colOff>
      <xdr:row>6</xdr:row>
      <xdr:rowOff>49530</xdr:rowOff>
    </xdr:from>
    <xdr:to>
      <xdr:col>6</xdr:col>
      <xdr:colOff>274320</xdr:colOff>
      <xdr:row>21</xdr:row>
      <xdr:rowOff>49530</xdr:rowOff>
    </xdr:to>
    <xdr:graphicFrame macro="">
      <xdr:nvGraphicFramePr>
        <xdr:cNvPr id="2" name="Chart 1">
          <a:extLst>
            <a:ext uri="{FF2B5EF4-FFF2-40B4-BE49-F238E27FC236}">
              <a16:creationId xmlns:a16="http://schemas.microsoft.com/office/drawing/2014/main" id="{EAB3BDC0-9AAB-FDA3-0EFA-B55F3BCC2B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7</xdr:row>
      <xdr:rowOff>57150</xdr:rowOff>
    </xdr:from>
    <xdr:to>
      <xdr:col>4</xdr:col>
      <xdr:colOff>320040</xdr:colOff>
      <xdr:row>22</xdr:row>
      <xdr:rowOff>57150</xdr:rowOff>
    </xdr:to>
    <xdr:graphicFrame macro="">
      <xdr:nvGraphicFramePr>
        <xdr:cNvPr id="2" name="Chart 1">
          <a:extLst>
            <a:ext uri="{FF2B5EF4-FFF2-40B4-BE49-F238E27FC236}">
              <a16:creationId xmlns:a16="http://schemas.microsoft.com/office/drawing/2014/main" id="{ED01C04C-EC5B-E0D6-9277-946F90E2EE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601980</xdr:colOff>
      <xdr:row>7</xdr:row>
      <xdr:rowOff>15240</xdr:rowOff>
    </xdr:from>
    <xdr:to>
      <xdr:col>12</xdr:col>
      <xdr:colOff>303673</xdr:colOff>
      <xdr:row>22</xdr:row>
      <xdr:rowOff>27671</xdr:rowOff>
    </xdr:to>
    <xdr:pic>
      <xdr:nvPicPr>
        <xdr:cNvPr id="4" name="Picture 3">
          <a:extLst>
            <a:ext uri="{FF2B5EF4-FFF2-40B4-BE49-F238E27FC236}">
              <a16:creationId xmlns:a16="http://schemas.microsoft.com/office/drawing/2014/main" id="{DEA317F2-3B12-8018-5FE7-A028B1A57328}"/>
            </a:ext>
          </a:extLst>
        </xdr:cNvPr>
        <xdr:cNvPicPr>
          <a:picLocks noChangeAspect="1"/>
        </xdr:cNvPicPr>
      </xdr:nvPicPr>
      <xdr:blipFill>
        <a:blip xmlns:r="http://schemas.openxmlformats.org/officeDocument/2006/relationships" r:embed="rId2"/>
        <a:stretch>
          <a:fillRect/>
        </a:stretch>
      </xdr:blipFill>
      <xdr:spPr>
        <a:xfrm>
          <a:off x="4853940" y="1295400"/>
          <a:ext cx="4578493" cy="2755631"/>
        </a:xfrm>
        <a:prstGeom prst="rect">
          <a:avLst/>
        </a:prstGeom>
      </xdr:spPr>
    </xdr:pic>
    <xdr:clientData/>
  </xdr:twoCellAnchor>
  <xdr:twoCellAnchor>
    <xdr:from>
      <xdr:col>12</xdr:col>
      <xdr:colOff>388620</xdr:colOff>
      <xdr:row>7</xdr:row>
      <xdr:rowOff>0</xdr:rowOff>
    </xdr:from>
    <xdr:to>
      <xdr:col>20</xdr:col>
      <xdr:colOff>83820</xdr:colOff>
      <xdr:row>22</xdr:row>
      <xdr:rowOff>0</xdr:rowOff>
    </xdr:to>
    <xdr:graphicFrame macro="">
      <xdr:nvGraphicFramePr>
        <xdr:cNvPr id="5" name="Chart 4">
          <a:extLst>
            <a:ext uri="{FF2B5EF4-FFF2-40B4-BE49-F238E27FC236}">
              <a16:creationId xmlns:a16="http://schemas.microsoft.com/office/drawing/2014/main" id="{21B28D70-A119-424D-A1A0-5F1BF4C84F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807720</xdr:colOff>
      <xdr:row>20</xdr:row>
      <xdr:rowOff>7620</xdr:rowOff>
    </xdr:from>
    <xdr:to>
      <xdr:col>3</xdr:col>
      <xdr:colOff>152400</xdr:colOff>
      <xdr:row>33</xdr:row>
      <xdr:rowOff>97155</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3D0EFBF2-A100-154A-B12E-DE0ED7C7C16A}"/>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889760" y="45796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1051560</xdr:colOff>
      <xdr:row>20</xdr:row>
      <xdr:rowOff>38100</xdr:rowOff>
    </xdr:from>
    <xdr:to>
      <xdr:col>10</xdr:col>
      <xdr:colOff>1135380</xdr:colOff>
      <xdr:row>33</xdr:row>
      <xdr:rowOff>127635</xdr:rowOff>
    </xdr:to>
    <mc:AlternateContent xmlns:mc="http://schemas.openxmlformats.org/markup-compatibility/2006" xmlns:a14="http://schemas.microsoft.com/office/drawing/2010/main">
      <mc:Choice Requires="a14">
        <xdr:graphicFrame macro="">
          <xdr:nvGraphicFramePr>
            <xdr:cNvPr id="6" name="Gender">
              <a:extLst>
                <a:ext uri="{FF2B5EF4-FFF2-40B4-BE49-F238E27FC236}">
                  <a16:creationId xmlns:a16="http://schemas.microsoft.com/office/drawing/2014/main" id="{AECA014D-520F-7EBD-0BB5-64ACD0B19A5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802880" y="46101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251460</xdr:colOff>
      <xdr:row>20</xdr:row>
      <xdr:rowOff>45720</xdr:rowOff>
    </xdr:from>
    <xdr:to>
      <xdr:col>5</xdr:col>
      <xdr:colOff>480060</xdr:colOff>
      <xdr:row>33</xdr:row>
      <xdr:rowOff>135255</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92170C30-45D3-9D70-9E0F-E21C63797D2F}"/>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3817620" y="46177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662940</xdr:colOff>
      <xdr:row>20</xdr:row>
      <xdr:rowOff>60960</xdr:rowOff>
    </xdr:from>
    <xdr:to>
      <xdr:col>8</xdr:col>
      <xdr:colOff>906780</xdr:colOff>
      <xdr:row>33</xdr:row>
      <xdr:rowOff>150495</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0EA02367-6BF8-FE27-249F-2D86B139E47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829300" y="46329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0</xdr:rowOff>
    </xdr:from>
    <xdr:to>
      <xdr:col>1</xdr:col>
      <xdr:colOff>746760</xdr:colOff>
      <xdr:row>33</xdr:row>
      <xdr:rowOff>89535</xdr:rowOff>
    </xdr:to>
    <mc:AlternateContent xmlns:mc="http://schemas.openxmlformats.org/markup-compatibility/2006" xmlns:a14="http://schemas.microsoft.com/office/drawing/2010/main">
      <mc:Choice Requires="a14">
        <xdr:graphicFrame macro="">
          <xdr:nvGraphicFramePr>
            <xdr:cNvPr id="9" name="Purchased Bike">
              <a:extLst>
                <a:ext uri="{FF2B5EF4-FFF2-40B4-BE49-F238E27FC236}">
                  <a16:creationId xmlns:a16="http://schemas.microsoft.com/office/drawing/2014/main" id="{1AD83A44-7ECC-96E8-D110-CAB86620ECD6}"/>
                </a:ext>
              </a:extLst>
            </xdr:cNvPr>
            <xdr:cNvGraphicFramePr/>
          </xdr:nvGraphicFramePr>
          <xdr:xfrm>
            <a:off x="0" y="0"/>
            <a:ext cx="0" cy="0"/>
          </xdr:xfrm>
          <a:graphic>
            <a:graphicData uri="http://schemas.microsoft.com/office/drawing/2010/slicer">
              <sle:slicer xmlns:sle="http://schemas.microsoft.com/office/drawing/2010/slicer" name="Purchased Bike"/>
            </a:graphicData>
          </a:graphic>
        </xdr:graphicFrame>
      </mc:Choice>
      <mc:Fallback xmlns="">
        <xdr:sp macro="" textlink="">
          <xdr:nvSpPr>
            <xdr:cNvPr id="0" name=""/>
            <xdr:cNvSpPr>
              <a:spLocks noTextEdit="1"/>
            </xdr:cNvSpPr>
          </xdr:nvSpPr>
          <xdr:spPr>
            <a:xfrm>
              <a:off x="0" y="45720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lakala Anusha" refreshedDate="46292.500627546295" createdVersion="8" refreshedVersion="8" minRefreshableVersion="3" recordCount="10" xr:uid="{9D6DCE70-6C01-4C6C-A8BB-DD316FB9C258}">
  <cacheSource type="worksheet">
    <worksheetSource name="Table1"/>
  </cacheSource>
  <cacheFields count="15">
    <cacheField name="Customer ID" numFmtId="0">
      <sharedItems containsSemiMixedTypes="0" containsString="0" containsNumber="1" containsInteger="1" minValue="10001" maxValue="10010" count="10">
        <n v="10001"/>
        <n v="10002"/>
        <n v="10003"/>
        <n v="10004"/>
        <n v="10005"/>
        <n v="10006"/>
        <n v="10007"/>
        <n v="10008"/>
        <n v="10009"/>
        <n v="10010"/>
      </sharedItems>
    </cacheField>
    <cacheField name="Customer Name" numFmtId="0">
      <sharedItems/>
    </cacheField>
    <cacheField name="Marital Status" numFmtId="0">
      <sharedItems count="2">
        <s v="Married"/>
        <s v="Single"/>
      </sharedItems>
    </cacheField>
    <cacheField name="Gender" numFmtId="0">
      <sharedItems count="2">
        <s v="Male"/>
        <s v="Female"/>
      </sharedItems>
    </cacheField>
    <cacheField name="Income" numFmtId="165">
      <sharedItems containsSemiMixedTypes="0" containsString="0" containsNumber="1" containsInteger="1" minValue="39000" maxValue="91000"/>
    </cacheField>
    <cacheField name="Children" numFmtId="0">
      <sharedItems containsSemiMixedTypes="0" containsString="0" containsNumber="1" containsInteger="1" minValue="0" maxValue="3"/>
    </cacheField>
    <cacheField name="Education" numFmtId="0">
      <sharedItems count="4">
        <s v="Bachelors"/>
        <s v="Graduate Degree"/>
        <s v="Partial College"/>
        <s v="High School"/>
      </sharedItems>
    </cacheField>
    <cacheField name="Occupation" numFmtId="0">
      <sharedItems count="5">
        <s v="Professional"/>
        <s v="Clerical"/>
        <s v="Management"/>
        <s v="Skilled Manual"/>
        <s v="Manual"/>
      </sharedItems>
    </cacheField>
    <cacheField name="Home Owner" numFmtId="0">
      <sharedItems/>
    </cacheField>
    <cacheField name="Cars" numFmtId="0">
      <sharedItems containsSemiMixedTypes="0" containsString="0" containsNumber="1" containsInteger="1" minValue="0" maxValue="2"/>
    </cacheField>
    <cacheField name="Commute Distance" numFmtId="0">
      <sharedItems count="4">
        <s v="2-5 Miles"/>
        <s v="5-10 Miles"/>
        <s v="0-1 Miles"/>
        <s v="10+ Miles"/>
      </sharedItems>
    </cacheField>
    <cacheField name="Region" numFmtId="0">
      <sharedItems count="3">
        <s v="North America"/>
        <s v="Europe"/>
        <s v="Pacific"/>
      </sharedItems>
    </cacheField>
    <cacheField name="Age" numFmtId="1">
      <sharedItems containsSemiMixedTypes="0" containsString="0" containsNumber="1" containsInteger="1" minValue="24" maxValue="61"/>
    </cacheField>
    <cacheField name="Purchased Bike" numFmtId="0">
      <sharedItems count="2">
        <s v="Yes"/>
        <s v="No"/>
      </sharedItems>
    </cacheField>
    <cacheField name="Age Group" numFmtId="0">
      <sharedItems count="3">
        <s v="31-54"/>
        <s v="under 31"/>
        <s v="55+"/>
      </sharedItems>
    </cacheField>
  </cacheFields>
  <extLst>
    <ext xmlns:x14="http://schemas.microsoft.com/office/spreadsheetml/2009/9/main" uri="{725AE2AE-9491-48be-B2B4-4EB974FC3084}">
      <x14:pivotCacheDefinition pivotCacheId="130460106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lakala Anusha" refreshedDate="46292.536404861108" createdVersion="8" refreshedVersion="8" minRefreshableVersion="3" recordCount="10" xr:uid="{EB2AEBEB-7A30-48D4-A442-A3C364000A1F}">
  <cacheSource type="worksheet">
    <worksheetSource name="Table1"/>
  </cacheSource>
  <cacheFields count="15">
    <cacheField name="Customer ID" numFmtId="0">
      <sharedItems containsSemiMixedTypes="0" containsString="0" containsNumber="1" containsInteger="1" minValue="10001" maxValue="10010"/>
    </cacheField>
    <cacheField name="Customer Name" numFmtId="0">
      <sharedItems/>
    </cacheField>
    <cacheField name="Marital Status" numFmtId="0">
      <sharedItems/>
    </cacheField>
    <cacheField name="Gender" numFmtId="0">
      <sharedItems count="2">
        <s v="Male"/>
        <s v="Female"/>
      </sharedItems>
    </cacheField>
    <cacheField name="Income" numFmtId="165">
      <sharedItems containsSemiMixedTypes="0" containsString="0" containsNumber="1" containsInteger="1" minValue="39000" maxValue="91000"/>
    </cacheField>
    <cacheField name="Children" numFmtId="0">
      <sharedItems containsSemiMixedTypes="0" containsString="0" containsNumber="1" containsInteger="1" minValue="0" maxValue="3"/>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2"/>
    </cacheField>
    <cacheField name="Commute Distance" numFmtId="0">
      <sharedItems/>
    </cacheField>
    <cacheField name="Region" numFmtId="0">
      <sharedItems/>
    </cacheField>
    <cacheField name="Age" numFmtId="1">
      <sharedItems containsSemiMixedTypes="0" containsString="0" containsNumber="1" containsInteger="1" minValue="24" maxValue="61"/>
    </cacheField>
    <cacheField name="Purchased Bike" numFmtId="0">
      <sharedItems/>
    </cacheField>
    <cacheField name="Age Group"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lakala Anusha" refreshedDate="46292.537174189813" createdVersion="8" refreshedVersion="8" minRefreshableVersion="3" recordCount="10" xr:uid="{195B0561-8161-4475-BC6B-5CA96AE5FAEE}">
  <cacheSource type="worksheet">
    <worksheetSource name="Table1"/>
  </cacheSource>
  <cacheFields count="15">
    <cacheField name="Customer ID" numFmtId="0">
      <sharedItems containsSemiMixedTypes="0" containsString="0" containsNumber="1" containsInteger="1" minValue="10001" maxValue="10010"/>
    </cacheField>
    <cacheField name="Customer Name" numFmtId="0">
      <sharedItems/>
    </cacheField>
    <cacheField name="Marital Status" numFmtId="0">
      <sharedItems/>
    </cacheField>
    <cacheField name="Gender" numFmtId="0">
      <sharedItems/>
    </cacheField>
    <cacheField name="Income" numFmtId="165">
      <sharedItems containsSemiMixedTypes="0" containsString="0" containsNumber="1" containsInteger="1" minValue="39000" maxValue="91000"/>
    </cacheField>
    <cacheField name="Children" numFmtId="0">
      <sharedItems containsSemiMixedTypes="0" containsString="0" containsNumber="1" containsInteger="1" minValue="0" maxValue="3"/>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2"/>
    </cacheField>
    <cacheField name="Commute Distance" numFmtId="0">
      <sharedItems/>
    </cacheField>
    <cacheField name="Region" numFmtId="0">
      <sharedItems/>
    </cacheField>
    <cacheField name="Age" numFmtId="1">
      <sharedItems containsSemiMixedTypes="0" containsString="0" containsNumber="1" containsInteger="1" minValue="24" maxValue="61"/>
    </cacheField>
    <cacheField name="Purchased Bike" numFmtId="0">
      <sharedItems/>
    </cacheField>
    <cacheField name="Age Group" numFmtId="0">
      <sharedItems count="3">
        <s v="31-54"/>
        <s v="under 31"/>
        <s v="55+"/>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lakala Anusha" refreshedDate="46292.541627199076" createdVersion="8" refreshedVersion="8" minRefreshableVersion="3" recordCount="10" xr:uid="{5DBA7081-7421-4D49-A783-B7D7F3AA9F41}">
  <cacheSource type="worksheet">
    <worksheetSource name="Table1"/>
  </cacheSource>
  <cacheFields count="15">
    <cacheField name="Customer ID" numFmtId="0">
      <sharedItems containsSemiMixedTypes="0" containsString="0" containsNumber="1" containsInteger="1" minValue="10001" maxValue="10010"/>
    </cacheField>
    <cacheField name="Customer Name" numFmtId="0">
      <sharedItems/>
    </cacheField>
    <cacheField name="Marital Status" numFmtId="0">
      <sharedItems/>
    </cacheField>
    <cacheField name="Gender" numFmtId="0">
      <sharedItems/>
    </cacheField>
    <cacheField name="Income" numFmtId="165">
      <sharedItems containsSemiMixedTypes="0" containsString="0" containsNumber="1" containsInteger="1" minValue="39000" maxValue="91000"/>
    </cacheField>
    <cacheField name="Children" numFmtId="0">
      <sharedItems containsSemiMixedTypes="0" containsString="0" containsNumber="1" containsInteger="1" minValue="0" maxValue="3"/>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2"/>
    </cacheField>
    <cacheField name="Commute Distance" numFmtId="0">
      <sharedItems/>
    </cacheField>
    <cacheField name="Region" numFmtId="0">
      <sharedItems count="3">
        <s v="North America"/>
        <s v="Europe"/>
        <s v="Pacific"/>
      </sharedItems>
    </cacheField>
    <cacheField name="Age" numFmtId="1">
      <sharedItems containsSemiMixedTypes="0" containsString="0" containsNumber="1" containsInteger="1" minValue="24" maxValue="61"/>
    </cacheField>
    <cacheField name="Purchased Bike" numFmtId="0">
      <sharedItems/>
    </cacheField>
    <cacheField name="Age Group" numFmtId="0">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lakala Anusha" refreshedDate="46292.542436689815" createdVersion="8" refreshedVersion="8" minRefreshableVersion="3" recordCount="10" xr:uid="{BFFDC7E0-7DF9-4A39-ADCE-27A693B4A053}">
  <cacheSource type="worksheet">
    <worksheetSource name="Table1"/>
  </cacheSource>
  <cacheFields count="15">
    <cacheField name="Customer ID" numFmtId="0">
      <sharedItems containsSemiMixedTypes="0" containsString="0" containsNumber="1" containsInteger="1" minValue="10001" maxValue="10010"/>
    </cacheField>
    <cacheField name="Customer Name" numFmtId="0">
      <sharedItems/>
    </cacheField>
    <cacheField name="Marital Status" numFmtId="0">
      <sharedItems/>
    </cacheField>
    <cacheField name="Gender" numFmtId="0">
      <sharedItems/>
    </cacheField>
    <cacheField name="Income" numFmtId="165">
      <sharedItems containsSemiMixedTypes="0" containsString="0" containsNumber="1" containsInteger="1" minValue="39000" maxValue="91000"/>
    </cacheField>
    <cacheField name="Children" numFmtId="0">
      <sharedItems containsSemiMixedTypes="0" containsString="0" containsNumber="1" containsInteger="1" minValue="0" maxValue="3"/>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2"/>
    </cacheField>
    <cacheField name="Commute Distance" numFmtId="0">
      <sharedItems count="4">
        <s v="2-5 Miles"/>
        <s v="5-10 Miles"/>
        <s v="0-1 Miles"/>
        <s v="10+ Miles"/>
      </sharedItems>
    </cacheField>
    <cacheField name="Region" numFmtId="0">
      <sharedItems/>
    </cacheField>
    <cacheField name="Age" numFmtId="1">
      <sharedItems containsSemiMixedTypes="0" containsString="0" containsNumber="1" containsInteger="1" minValue="24" maxValue="61"/>
    </cacheField>
    <cacheField name="Purchased Bike" numFmtId="0">
      <sharedItems/>
    </cacheField>
    <cacheField name="Age Group"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s v="Rahul Sharma"/>
    <x v="0"/>
    <x v="0"/>
    <n v="65000"/>
    <n v="2"/>
    <x v="0"/>
    <x v="0"/>
    <s v="Yes"/>
    <n v="1"/>
    <x v="0"/>
    <x v="0"/>
    <n v="35"/>
    <x v="0"/>
    <x v="0"/>
  </r>
  <r>
    <x v="1"/>
    <s v="Priya Reddy"/>
    <x v="1"/>
    <x v="1"/>
    <n v="48000"/>
    <n v="0"/>
    <x v="1"/>
    <x v="1"/>
    <s v="No"/>
    <n v="0"/>
    <x v="1"/>
    <x v="1"/>
    <n v="27"/>
    <x v="1"/>
    <x v="1"/>
  </r>
  <r>
    <x v="2"/>
    <s v="Arjun Kumar"/>
    <x v="0"/>
    <x v="0"/>
    <n v="82000"/>
    <n v="1"/>
    <x v="0"/>
    <x v="2"/>
    <s v="Yes"/>
    <n v="2"/>
    <x v="2"/>
    <x v="0"/>
    <n v="42"/>
    <x v="0"/>
    <x v="0"/>
  </r>
  <r>
    <x v="3"/>
    <s v="Sneha Rao"/>
    <x v="1"/>
    <x v="1"/>
    <n v="55000"/>
    <n v="0"/>
    <x v="2"/>
    <x v="0"/>
    <s v="Yes"/>
    <n v="1"/>
    <x v="0"/>
    <x v="2"/>
    <n v="31"/>
    <x v="1"/>
    <x v="0"/>
  </r>
  <r>
    <x v="4"/>
    <s v="Vikram Singh"/>
    <x v="0"/>
    <x v="0"/>
    <n v="72000"/>
    <n v="3"/>
    <x v="3"/>
    <x v="3"/>
    <s v="Yes"/>
    <n v="2"/>
    <x v="3"/>
    <x v="1"/>
    <n v="56"/>
    <x v="0"/>
    <x v="2"/>
  </r>
  <r>
    <x v="5"/>
    <s v="Ananya Patel"/>
    <x v="1"/>
    <x v="1"/>
    <n v="39000"/>
    <n v="0"/>
    <x v="0"/>
    <x v="1"/>
    <s v="No"/>
    <n v="1"/>
    <x v="1"/>
    <x v="2"/>
    <n v="24"/>
    <x v="1"/>
    <x v="1"/>
  </r>
  <r>
    <x v="6"/>
    <s v="Rohan Gupta"/>
    <x v="0"/>
    <x v="0"/>
    <n v="91000"/>
    <n v="2"/>
    <x v="1"/>
    <x v="2"/>
    <s v="Yes"/>
    <n v="2"/>
    <x v="2"/>
    <x v="0"/>
    <n v="45"/>
    <x v="0"/>
    <x v="0"/>
  </r>
  <r>
    <x v="7"/>
    <s v="Kavya Naidu"/>
    <x v="1"/>
    <x v="1"/>
    <n v="62000"/>
    <n v="1"/>
    <x v="0"/>
    <x v="0"/>
    <s v="Yes"/>
    <n v="1"/>
    <x v="0"/>
    <x v="1"/>
    <n v="38"/>
    <x v="0"/>
    <x v="0"/>
  </r>
  <r>
    <x v="8"/>
    <s v="Aditya Rao"/>
    <x v="0"/>
    <x v="0"/>
    <n v="47000"/>
    <n v="2"/>
    <x v="3"/>
    <x v="4"/>
    <s v="No"/>
    <n v="1"/>
    <x v="3"/>
    <x v="2"/>
    <n v="61"/>
    <x v="1"/>
    <x v="2"/>
  </r>
  <r>
    <x v="9"/>
    <s v="Meera Iyer"/>
    <x v="1"/>
    <x v="1"/>
    <n v="70000"/>
    <n v="0"/>
    <x v="1"/>
    <x v="0"/>
    <s v="Yes"/>
    <n v="2"/>
    <x v="2"/>
    <x v="0"/>
    <n v="33"/>
    <x v="0"/>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10001"/>
    <s v="Rahul Sharma"/>
    <s v="Married"/>
    <x v="0"/>
    <n v="65000"/>
    <n v="2"/>
    <s v="Bachelors"/>
    <s v="Professional"/>
    <s v="Yes"/>
    <n v="1"/>
    <s v="2-5 Miles"/>
    <s v="North America"/>
    <n v="35"/>
    <s v="Yes"/>
    <s v="31-54"/>
  </r>
  <r>
    <n v="10002"/>
    <s v="Priya Reddy"/>
    <s v="Single"/>
    <x v="1"/>
    <n v="48000"/>
    <n v="0"/>
    <s v="Graduate Degree"/>
    <s v="Clerical"/>
    <s v="No"/>
    <n v="0"/>
    <s v="5-10 Miles"/>
    <s v="Europe"/>
    <n v="27"/>
    <s v="No"/>
    <s v="under 31"/>
  </r>
  <r>
    <n v="10003"/>
    <s v="Arjun Kumar"/>
    <s v="Married"/>
    <x v="0"/>
    <n v="82000"/>
    <n v="1"/>
    <s v="Bachelors"/>
    <s v="Management"/>
    <s v="Yes"/>
    <n v="2"/>
    <s v="0-1 Miles"/>
    <s v="North America"/>
    <n v="42"/>
    <s v="Yes"/>
    <s v="31-54"/>
  </r>
  <r>
    <n v="10004"/>
    <s v="Sneha Rao"/>
    <s v="Single"/>
    <x v="1"/>
    <n v="55000"/>
    <n v="0"/>
    <s v="Partial College"/>
    <s v="Professional"/>
    <s v="Yes"/>
    <n v="1"/>
    <s v="2-5 Miles"/>
    <s v="Pacific"/>
    <n v="31"/>
    <s v="No"/>
    <s v="31-54"/>
  </r>
  <r>
    <n v="10005"/>
    <s v="Vikram Singh"/>
    <s v="Married"/>
    <x v="0"/>
    <n v="72000"/>
    <n v="3"/>
    <s v="High School"/>
    <s v="Skilled Manual"/>
    <s v="Yes"/>
    <n v="2"/>
    <s v="10+ Miles"/>
    <s v="Europe"/>
    <n v="56"/>
    <s v="Yes"/>
    <s v="55+"/>
  </r>
  <r>
    <n v="10006"/>
    <s v="Ananya Patel"/>
    <s v="Single"/>
    <x v="1"/>
    <n v="39000"/>
    <n v="0"/>
    <s v="Bachelors"/>
    <s v="Clerical"/>
    <s v="No"/>
    <n v="1"/>
    <s v="5-10 Miles"/>
    <s v="Pacific"/>
    <n v="24"/>
    <s v="No"/>
    <s v="under 31"/>
  </r>
  <r>
    <n v="10007"/>
    <s v="Rohan Gupta"/>
    <s v="Married"/>
    <x v="0"/>
    <n v="91000"/>
    <n v="2"/>
    <s v="Graduate Degree"/>
    <s v="Management"/>
    <s v="Yes"/>
    <n v="2"/>
    <s v="0-1 Miles"/>
    <s v="North America"/>
    <n v="45"/>
    <s v="Yes"/>
    <s v="31-54"/>
  </r>
  <r>
    <n v="10008"/>
    <s v="Kavya Naidu"/>
    <s v="Single"/>
    <x v="1"/>
    <n v="62000"/>
    <n v="1"/>
    <s v="Bachelors"/>
    <s v="Professional"/>
    <s v="Yes"/>
    <n v="1"/>
    <s v="2-5 Miles"/>
    <s v="Europe"/>
    <n v="38"/>
    <s v="Yes"/>
    <s v="31-54"/>
  </r>
  <r>
    <n v="10009"/>
    <s v="Aditya Rao"/>
    <s v="Married"/>
    <x v="0"/>
    <n v="47000"/>
    <n v="2"/>
    <s v="High School"/>
    <s v="Manual"/>
    <s v="No"/>
    <n v="1"/>
    <s v="10+ Miles"/>
    <s v="Pacific"/>
    <n v="61"/>
    <s v="No"/>
    <s v="55+"/>
  </r>
  <r>
    <n v="10010"/>
    <s v="Meera Iyer"/>
    <s v="Single"/>
    <x v="1"/>
    <n v="70000"/>
    <n v="0"/>
    <s v="Graduate Degree"/>
    <s v="Professional"/>
    <s v="Yes"/>
    <n v="2"/>
    <s v="0-1 Miles"/>
    <s v="North America"/>
    <n v="33"/>
    <s v="Yes"/>
    <s v="31-5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10001"/>
    <s v="Rahul Sharma"/>
    <s v="Married"/>
    <s v="Male"/>
    <n v="65000"/>
    <n v="2"/>
    <s v="Bachelors"/>
    <s v="Professional"/>
    <s v="Yes"/>
    <n v="1"/>
    <s v="2-5 Miles"/>
    <s v="North America"/>
    <n v="35"/>
    <s v="Yes"/>
    <x v="0"/>
  </r>
  <r>
    <n v="10002"/>
    <s v="Priya Reddy"/>
    <s v="Single"/>
    <s v="Female"/>
    <n v="48000"/>
    <n v="0"/>
    <s v="Graduate Degree"/>
    <s v="Clerical"/>
    <s v="No"/>
    <n v="0"/>
    <s v="5-10 Miles"/>
    <s v="Europe"/>
    <n v="27"/>
    <s v="No"/>
    <x v="1"/>
  </r>
  <r>
    <n v="10003"/>
    <s v="Arjun Kumar"/>
    <s v="Married"/>
    <s v="Male"/>
    <n v="82000"/>
    <n v="1"/>
    <s v="Bachelors"/>
    <s v="Management"/>
    <s v="Yes"/>
    <n v="2"/>
    <s v="0-1 Miles"/>
    <s v="North America"/>
    <n v="42"/>
    <s v="Yes"/>
    <x v="0"/>
  </r>
  <r>
    <n v="10004"/>
    <s v="Sneha Rao"/>
    <s v="Single"/>
    <s v="Female"/>
    <n v="55000"/>
    <n v="0"/>
    <s v="Partial College"/>
    <s v="Professional"/>
    <s v="Yes"/>
    <n v="1"/>
    <s v="2-5 Miles"/>
    <s v="Pacific"/>
    <n v="31"/>
    <s v="No"/>
    <x v="0"/>
  </r>
  <r>
    <n v="10005"/>
    <s v="Vikram Singh"/>
    <s v="Married"/>
    <s v="Male"/>
    <n v="72000"/>
    <n v="3"/>
    <s v="High School"/>
    <s v="Skilled Manual"/>
    <s v="Yes"/>
    <n v="2"/>
    <s v="10+ Miles"/>
    <s v="Europe"/>
    <n v="56"/>
    <s v="Yes"/>
    <x v="2"/>
  </r>
  <r>
    <n v="10006"/>
    <s v="Ananya Patel"/>
    <s v="Single"/>
    <s v="Female"/>
    <n v="39000"/>
    <n v="0"/>
    <s v="Bachelors"/>
    <s v="Clerical"/>
    <s v="No"/>
    <n v="1"/>
    <s v="5-10 Miles"/>
    <s v="Pacific"/>
    <n v="24"/>
    <s v="No"/>
    <x v="1"/>
  </r>
  <r>
    <n v="10007"/>
    <s v="Rohan Gupta"/>
    <s v="Married"/>
    <s v="Male"/>
    <n v="91000"/>
    <n v="2"/>
    <s v="Graduate Degree"/>
    <s v="Management"/>
    <s v="Yes"/>
    <n v="2"/>
    <s v="0-1 Miles"/>
    <s v="North America"/>
    <n v="45"/>
    <s v="Yes"/>
    <x v="0"/>
  </r>
  <r>
    <n v="10008"/>
    <s v="Kavya Naidu"/>
    <s v="Single"/>
    <s v="Female"/>
    <n v="62000"/>
    <n v="1"/>
    <s v="Bachelors"/>
    <s v="Professional"/>
    <s v="Yes"/>
    <n v="1"/>
    <s v="2-5 Miles"/>
    <s v="Europe"/>
    <n v="38"/>
    <s v="Yes"/>
    <x v="0"/>
  </r>
  <r>
    <n v="10009"/>
    <s v="Aditya Rao"/>
    <s v="Married"/>
    <s v="Male"/>
    <n v="47000"/>
    <n v="2"/>
    <s v="High School"/>
    <s v="Manual"/>
    <s v="No"/>
    <n v="1"/>
    <s v="10+ Miles"/>
    <s v="Pacific"/>
    <n v="61"/>
    <s v="No"/>
    <x v="2"/>
  </r>
  <r>
    <n v="10010"/>
    <s v="Meera Iyer"/>
    <s v="Single"/>
    <s v="Female"/>
    <n v="70000"/>
    <n v="0"/>
    <s v="Graduate Degree"/>
    <s v="Professional"/>
    <s v="Yes"/>
    <n v="2"/>
    <s v="0-1 Miles"/>
    <s v="North America"/>
    <n v="33"/>
    <s v="Yes"/>
    <x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10001"/>
    <s v="Rahul Sharma"/>
    <s v="Married"/>
    <s v="Male"/>
    <n v="65000"/>
    <n v="2"/>
    <s v="Bachelors"/>
    <s v="Professional"/>
    <s v="Yes"/>
    <n v="1"/>
    <s v="2-5 Miles"/>
    <x v="0"/>
    <n v="35"/>
    <s v="Yes"/>
    <s v="31-54"/>
  </r>
  <r>
    <n v="10002"/>
    <s v="Priya Reddy"/>
    <s v="Single"/>
    <s v="Female"/>
    <n v="48000"/>
    <n v="0"/>
    <s v="Graduate Degree"/>
    <s v="Clerical"/>
    <s v="No"/>
    <n v="0"/>
    <s v="5-10 Miles"/>
    <x v="1"/>
    <n v="27"/>
    <s v="No"/>
    <s v="under 31"/>
  </r>
  <r>
    <n v="10003"/>
    <s v="Arjun Kumar"/>
    <s v="Married"/>
    <s v="Male"/>
    <n v="82000"/>
    <n v="1"/>
    <s v="Bachelors"/>
    <s v="Management"/>
    <s v="Yes"/>
    <n v="2"/>
    <s v="0-1 Miles"/>
    <x v="0"/>
    <n v="42"/>
    <s v="Yes"/>
    <s v="31-54"/>
  </r>
  <r>
    <n v="10004"/>
    <s v="Sneha Rao"/>
    <s v="Single"/>
    <s v="Female"/>
    <n v="55000"/>
    <n v="0"/>
    <s v="Partial College"/>
    <s v="Professional"/>
    <s v="Yes"/>
    <n v="1"/>
    <s v="2-5 Miles"/>
    <x v="2"/>
    <n v="31"/>
    <s v="No"/>
    <s v="31-54"/>
  </r>
  <r>
    <n v="10005"/>
    <s v="Vikram Singh"/>
    <s v="Married"/>
    <s v="Male"/>
    <n v="72000"/>
    <n v="3"/>
    <s v="High School"/>
    <s v="Skilled Manual"/>
    <s v="Yes"/>
    <n v="2"/>
    <s v="10+ Miles"/>
    <x v="1"/>
    <n v="56"/>
    <s v="Yes"/>
    <s v="55+"/>
  </r>
  <r>
    <n v="10006"/>
    <s v="Ananya Patel"/>
    <s v="Single"/>
    <s v="Female"/>
    <n v="39000"/>
    <n v="0"/>
    <s v="Bachelors"/>
    <s v="Clerical"/>
    <s v="No"/>
    <n v="1"/>
    <s v="5-10 Miles"/>
    <x v="2"/>
    <n v="24"/>
    <s v="No"/>
    <s v="under 31"/>
  </r>
  <r>
    <n v="10007"/>
    <s v="Rohan Gupta"/>
    <s v="Married"/>
    <s v="Male"/>
    <n v="91000"/>
    <n v="2"/>
    <s v="Graduate Degree"/>
    <s v="Management"/>
    <s v="Yes"/>
    <n v="2"/>
    <s v="0-1 Miles"/>
    <x v="0"/>
    <n v="45"/>
    <s v="Yes"/>
    <s v="31-54"/>
  </r>
  <r>
    <n v="10008"/>
    <s v="Kavya Naidu"/>
    <s v="Single"/>
    <s v="Female"/>
    <n v="62000"/>
    <n v="1"/>
    <s v="Bachelors"/>
    <s v="Professional"/>
    <s v="Yes"/>
    <n v="1"/>
    <s v="2-5 Miles"/>
    <x v="1"/>
    <n v="38"/>
    <s v="Yes"/>
    <s v="31-54"/>
  </r>
  <r>
    <n v="10009"/>
    <s v="Aditya Rao"/>
    <s v="Married"/>
    <s v="Male"/>
    <n v="47000"/>
    <n v="2"/>
    <s v="High School"/>
    <s v="Manual"/>
    <s v="No"/>
    <n v="1"/>
    <s v="10+ Miles"/>
    <x v="2"/>
    <n v="61"/>
    <s v="No"/>
    <s v="55+"/>
  </r>
  <r>
    <n v="10010"/>
    <s v="Meera Iyer"/>
    <s v="Single"/>
    <s v="Female"/>
    <n v="70000"/>
    <n v="0"/>
    <s v="Graduate Degree"/>
    <s v="Professional"/>
    <s v="Yes"/>
    <n v="2"/>
    <s v="0-1 Miles"/>
    <x v="0"/>
    <n v="33"/>
    <s v="Yes"/>
    <s v="31-54"/>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10001"/>
    <s v="Rahul Sharma"/>
    <s v="Married"/>
    <s v="Male"/>
    <n v="65000"/>
    <n v="2"/>
    <s v="Bachelors"/>
    <s v="Professional"/>
    <s v="Yes"/>
    <n v="1"/>
    <x v="0"/>
    <s v="North America"/>
    <n v="35"/>
    <s v="Yes"/>
    <s v="31-54"/>
  </r>
  <r>
    <n v="10002"/>
    <s v="Priya Reddy"/>
    <s v="Single"/>
    <s v="Female"/>
    <n v="48000"/>
    <n v="0"/>
    <s v="Graduate Degree"/>
    <s v="Clerical"/>
    <s v="No"/>
    <n v="0"/>
    <x v="1"/>
    <s v="Europe"/>
    <n v="27"/>
    <s v="No"/>
    <s v="under 31"/>
  </r>
  <r>
    <n v="10003"/>
    <s v="Arjun Kumar"/>
    <s v="Married"/>
    <s v="Male"/>
    <n v="82000"/>
    <n v="1"/>
    <s v="Bachelors"/>
    <s v="Management"/>
    <s v="Yes"/>
    <n v="2"/>
    <x v="2"/>
    <s v="North America"/>
    <n v="42"/>
    <s v="Yes"/>
    <s v="31-54"/>
  </r>
  <r>
    <n v="10004"/>
    <s v="Sneha Rao"/>
    <s v="Single"/>
    <s v="Female"/>
    <n v="55000"/>
    <n v="0"/>
    <s v="Partial College"/>
    <s v="Professional"/>
    <s v="Yes"/>
    <n v="1"/>
    <x v="0"/>
    <s v="Pacific"/>
    <n v="31"/>
    <s v="No"/>
    <s v="31-54"/>
  </r>
  <r>
    <n v="10005"/>
    <s v="Vikram Singh"/>
    <s v="Married"/>
    <s v="Male"/>
    <n v="72000"/>
    <n v="3"/>
    <s v="High School"/>
    <s v="Skilled Manual"/>
    <s v="Yes"/>
    <n v="2"/>
    <x v="3"/>
    <s v="Europe"/>
    <n v="56"/>
    <s v="Yes"/>
    <s v="55+"/>
  </r>
  <r>
    <n v="10006"/>
    <s v="Ananya Patel"/>
    <s v="Single"/>
    <s v="Female"/>
    <n v="39000"/>
    <n v="0"/>
    <s v="Bachelors"/>
    <s v="Clerical"/>
    <s v="No"/>
    <n v="1"/>
    <x v="1"/>
    <s v="Pacific"/>
    <n v="24"/>
    <s v="No"/>
    <s v="under 31"/>
  </r>
  <r>
    <n v="10007"/>
    <s v="Rohan Gupta"/>
    <s v="Married"/>
    <s v="Male"/>
    <n v="91000"/>
    <n v="2"/>
    <s v="Graduate Degree"/>
    <s v="Management"/>
    <s v="Yes"/>
    <n v="2"/>
    <x v="2"/>
    <s v="North America"/>
    <n v="45"/>
    <s v="Yes"/>
    <s v="31-54"/>
  </r>
  <r>
    <n v="10008"/>
    <s v="Kavya Naidu"/>
    <s v="Single"/>
    <s v="Female"/>
    <n v="62000"/>
    <n v="1"/>
    <s v="Bachelors"/>
    <s v="Professional"/>
    <s v="Yes"/>
    <n v="1"/>
    <x v="0"/>
    <s v="Europe"/>
    <n v="38"/>
    <s v="Yes"/>
    <s v="31-54"/>
  </r>
  <r>
    <n v="10009"/>
    <s v="Aditya Rao"/>
    <s v="Married"/>
    <s v="Male"/>
    <n v="47000"/>
    <n v="2"/>
    <s v="High School"/>
    <s v="Manual"/>
    <s v="No"/>
    <n v="1"/>
    <x v="3"/>
    <s v="Pacific"/>
    <n v="61"/>
    <s v="No"/>
    <s v="55+"/>
  </r>
  <r>
    <n v="10010"/>
    <s v="Meera Iyer"/>
    <s v="Single"/>
    <s v="Female"/>
    <n v="70000"/>
    <n v="0"/>
    <s v="Graduate Degree"/>
    <s v="Professional"/>
    <s v="Yes"/>
    <n v="2"/>
    <x v="2"/>
    <s v="North America"/>
    <n v="33"/>
    <s v="Yes"/>
    <s v="31-5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6886DE-3B8A-4882-B94D-16E9FFE21D5F}" name="PivotTable4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J9" firstHeaderRow="1" firstDataRow="2" firstDataCol="1"/>
  <pivotFields count="15">
    <pivotField dataField="1" showAll="0"/>
    <pivotField showAll="0"/>
    <pivotField showAll="0"/>
    <pivotField showAll="0"/>
    <pivotField numFmtId="165" showAll="0"/>
    <pivotField showAll="0"/>
    <pivotField showAll="0"/>
    <pivotField showAll="0"/>
    <pivotField showAll="0"/>
    <pivotField showAll="0"/>
    <pivotField axis="axisRow" showAll="0">
      <items count="5">
        <item x="2"/>
        <item x="3"/>
        <item x="0"/>
        <item x="1"/>
        <item t="default"/>
      </items>
    </pivotField>
    <pivotField showAll="0"/>
    <pivotField numFmtId="1" showAll="0"/>
    <pivotField axis="axisCol" showAll="0">
      <items count="3">
        <item x="1"/>
        <item x="0"/>
        <item t="default"/>
      </items>
    </pivotField>
    <pivotField showAll="0"/>
  </pivotFields>
  <rowFields count="1">
    <field x="10"/>
  </rowFields>
  <rowItems count="5">
    <i>
      <x/>
    </i>
    <i>
      <x v="1"/>
    </i>
    <i>
      <x v="2"/>
    </i>
    <i>
      <x v="3"/>
    </i>
    <i t="grand">
      <x/>
    </i>
  </rowItems>
  <colFields count="1">
    <field x="13"/>
  </colFields>
  <colItems count="3">
    <i>
      <x/>
    </i>
    <i>
      <x v="1"/>
    </i>
    <i t="grand">
      <x/>
    </i>
  </colItems>
  <dataFields count="1">
    <dataField name="Bike Purchase by Region"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A43E1F-9625-4160-A7FA-2F08C3007D99}" name="PivotTable3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D23" firstHeaderRow="1" firstDataRow="2" firstDataCol="1"/>
  <pivotFields count="15">
    <pivotField dataField="1" showAll="0"/>
    <pivotField showAll="0"/>
    <pivotField showAll="0"/>
    <pivotField showAll="0"/>
    <pivotField numFmtId="165" showAll="0"/>
    <pivotField showAll="0"/>
    <pivotField showAll="0"/>
    <pivotField showAll="0"/>
    <pivotField showAll="0"/>
    <pivotField showAll="0"/>
    <pivotField showAll="0"/>
    <pivotField axis="axisRow" showAll="0">
      <items count="4">
        <item x="1"/>
        <item x="0"/>
        <item x="2"/>
        <item t="default"/>
      </items>
    </pivotField>
    <pivotField numFmtId="1" showAll="0"/>
    <pivotField axis="axisCol" showAll="0">
      <items count="3">
        <item x="1"/>
        <item x="0"/>
        <item t="default"/>
      </items>
    </pivotField>
    <pivotField showAll="0"/>
  </pivotFields>
  <rowFields count="1">
    <field x="11"/>
  </rowFields>
  <rowItems count="4">
    <i>
      <x/>
    </i>
    <i>
      <x v="1"/>
    </i>
    <i>
      <x v="2"/>
    </i>
    <i t="grand">
      <x/>
    </i>
  </rowItems>
  <colFields count="1">
    <field x="13"/>
  </colFields>
  <colItems count="3">
    <i>
      <x/>
    </i>
    <i>
      <x v="1"/>
    </i>
    <i t="grand">
      <x/>
    </i>
  </colItems>
  <dataFields count="1">
    <dataField name="Count of Customer ID"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8757908-219D-4216-8024-EB60575889CB}" name="PivotTable3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D15" firstHeaderRow="1" firstDataRow="2" firstDataCol="1"/>
  <pivotFields count="15">
    <pivotField dataField="1" showAll="0"/>
    <pivotField showAll="0"/>
    <pivotField showAll="0"/>
    <pivotField axis="axisRow" showAll="0">
      <items count="3">
        <item x="1"/>
        <item x="0"/>
        <item t="default"/>
      </items>
    </pivotField>
    <pivotField numFmtId="165" showAll="0"/>
    <pivotField showAll="0"/>
    <pivotField showAll="0"/>
    <pivotField showAll="0"/>
    <pivotField showAll="0"/>
    <pivotField showAll="0"/>
    <pivotField showAll="0"/>
    <pivotField showAll="0"/>
    <pivotField numFmtId="1" showAll="0"/>
    <pivotField axis="axisCol" showAll="0">
      <items count="3">
        <item x="1"/>
        <item x="0"/>
        <item t="default"/>
      </items>
    </pivotField>
    <pivotField showAll="0"/>
  </pivotFields>
  <rowFields count="1">
    <field x="3"/>
  </rowFields>
  <rowItems count="3">
    <i>
      <x/>
    </i>
    <i>
      <x v="1"/>
    </i>
    <i t="grand">
      <x/>
    </i>
  </rowItems>
  <colFields count="1">
    <field x="13"/>
  </colFields>
  <colItems count="3">
    <i>
      <x/>
    </i>
    <i>
      <x v="1"/>
    </i>
    <i t="grand">
      <x/>
    </i>
  </colItems>
  <dataFields count="1">
    <dataField name="Count of Customer ID"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C7EDAEA-499E-4534-AA81-D90CC723BE4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8" firstHeaderRow="1" firstDataRow="2" firstDataCol="1"/>
  <pivotFields count="15">
    <pivotField dataField="1" showAll="0">
      <items count="11">
        <item x="0"/>
        <item x="1"/>
        <item x="2"/>
        <item x="3"/>
        <item x="4"/>
        <item x="5"/>
        <item x="6"/>
        <item x="7"/>
        <item x="8"/>
        <item x="9"/>
        <item t="default"/>
      </items>
    </pivotField>
    <pivotField showAll="0"/>
    <pivotField showAll="0"/>
    <pivotField showAll="0"/>
    <pivotField numFmtId="165" showAll="0"/>
    <pivotField showAll="0"/>
    <pivotField showAll="0"/>
    <pivotField showAll="0"/>
    <pivotField showAll="0"/>
    <pivotField showAll="0"/>
    <pivotField showAll="0"/>
    <pivotField showAll="0"/>
    <pivotField numFmtId="1" showAll="0"/>
    <pivotField axis="axisCol" showAll="0">
      <items count="3">
        <item x="1"/>
        <item x="0"/>
        <item t="default"/>
      </items>
    </pivotField>
    <pivotField axis="axisRow" showAll="0">
      <items count="4">
        <item x="0"/>
        <item x="2"/>
        <item x="1"/>
        <item t="default"/>
      </items>
    </pivotField>
  </pivotFields>
  <rowFields count="1">
    <field x="14"/>
  </rowFields>
  <rowItems count="4">
    <i>
      <x/>
    </i>
    <i>
      <x v="1"/>
    </i>
    <i>
      <x v="2"/>
    </i>
    <i t="grand">
      <x/>
    </i>
  </rowItems>
  <colFields count="1">
    <field x="13"/>
  </colFields>
  <colItems count="3">
    <i>
      <x/>
    </i>
    <i>
      <x v="1"/>
    </i>
    <i t="grand">
      <x/>
    </i>
  </colItems>
  <dataFields count="1">
    <dataField name="Count of Customer ID"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E457D44-4686-461C-9C7A-EBB1BFEDB760}" name="PivotTable4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2:J19" firstHeaderRow="1" firstDataRow="2" firstDataCol="1"/>
  <pivotFields count="15">
    <pivotField dataField="1" showAll="0"/>
    <pivotField showAll="0"/>
    <pivotField showAll="0"/>
    <pivotField showAll="0"/>
    <pivotField numFmtId="165" showAll="0"/>
    <pivotField showAll="0"/>
    <pivotField showAll="0"/>
    <pivotField axis="axisRow" showAll="0">
      <items count="6">
        <item x="1"/>
        <item x="2"/>
        <item x="4"/>
        <item x="0"/>
        <item x="3"/>
        <item t="default"/>
      </items>
    </pivotField>
    <pivotField showAll="0"/>
    <pivotField showAll="0"/>
    <pivotField showAll="0"/>
    <pivotField showAll="0"/>
    <pivotField numFmtId="1" showAll="0"/>
    <pivotField axis="axisCol" showAll="0">
      <items count="3">
        <item x="1"/>
        <item x="0"/>
        <item t="default"/>
      </items>
    </pivotField>
    <pivotField showAll="0"/>
  </pivotFields>
  <rowFields count="1">
    <field x="7"/>
  </rowFields>
  <rowItems count="6">
    <i>
      <x/>
    </i>
    <i>
      <x v="1"/>
    </i>
    <i>
      <x v="2"/>
    </i>
    <i>
      <x v="3"/>
    </i>
    <i>
      <x v="4"/>
    </i>
    <i t="grand">
      <x/>
    </i>
  </rowItems>
  <colFields count="1">
    <field x="13"/>
  </colFields>
  <colItems count="3">
    <i>
      <x/>
    </i>
    <i>
      <x v="1"/>
    </i>
    <i t="grand">
      <x/>
    </i>
  </colItems>
  <dataFields count="1">
    <dataField name="Count of Customer ID"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AB8F24F-C55F-4905-A8CD-E0A7203EF2E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D6" firstHeaderRow="1" firstDataRow="2" firstDataCol="1"/>
  <pivotFields count="15">
    <pivotField showAll="0"/>
    <pivotField showAll="0"/>
    <pivotField showAll="0"/>
    <pivotField axis="axisRow" showAll="0">
      <items count="3">
        <item x="1"/>
        <item x="0"/>
        <item t="default"/>
      </items>
    </pivotField>
    <pivotField dataField="1" numFmtId="165" showAll="0"/>
    <pivotField showAll="0"/>
    <pivotField showAll="0"/>
    <pivotField showAll="0"/>
    <pivotField showAll="0"/>
    <pivotField showAll="0"/>
    <pivotField showAll="0"/>
    <pivotField showAll="0"/>
    <pivotField numFmtId="1" showAll="0"/>
    <pivotField axis="axisCol" showAll="0">
      <items count="3">
        <item x="1"/>
        <item x="0"/>
        <item t="default"/>
      </items>
    </pivotField>
    <pivotField showAll="0"/>
  </pivotFields>
  <rowFields count="1">
    <field x="3"/>
  </rowFields>
  <rowItems count="3">
    <i>
      <x/>
    </i>
    <i>
      <x v="1"/>
    </i>
    <i t="grand">
      <x/>
    </i>
  </rowItems>
  <colFields count="1">
    <field x="13"/>
  </colFields>
  <colItems count="3">
    <i>
      <x/>
    </i>
    <i>
      <x v="1"/>
    </i>
    <i t="grand">
      <x/>
    </i>
  </colItems>
  <dataFields count="1">
    <dataField name="Average of Income" fld="4"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E83D645-0E0E-4062-990E-9A4EA0C487A2}" name="PivotTable13"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3">
  <location ref="I3:J6" firstHeaderRow="1" firstDataRow="1" firstDataCol="1"/>
  <pivotFields count="15">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dataField="1" compact="0" outline="0" showAll="0" defaultSubtotal="0">
      <items count="3">
        <item x="0"/>
        <item x="2"/>
        <item x="1"/>
      </items>
      <extLst>
        <ext xmlns:x14="http://schemas.microsoft.com/office/spreadsheetml/2009/9/main" uri="{2946ED86-A175-432a-8AC1-64E0C546D7DE}">
          <x14:pivotField fillDownLabels="1"/>
        </ext>
      </extLst>
    </pivotField>
  </pivotFields>
  <rowFields count="1">
    <field x="14"/>
  </rowFields>
  <rowItems count="3">
    <i>
      <x/>
    </i>
    <i>
      <x v="1"/>
    </i>
    <i>
      <x v="2"/>
    </i>
  </rowItems>
  <colItems count="1">
    <i/>
  </colItems>
  <dataFields count="1">
    <dataField name="Count of Age Group" fld="14"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91FF69E-0FBA-4047-B73E-94CC0D83F96C}" name="PivotTable9"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
  <location ref="A3:B5" firstHeaderRow="1" firstDataRow="1" firstDataCol="1"/>
  <pivotFields count="15">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dataField="1" compact="0" outline="0" showAll="0" defaultSubtotal="0">
      <items count="2">
        <item x="1"/>
        <item x="0"/>
      </items>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3"/>
  </rowFields>
  <rowItems count="2">
    <i>
      <x/>
    </i>
    <i>
      <x v="1"/>
    </i>
  </rowItems>
  <colItems count="1">
    <i/>
  </colItems>
  <dataFields count="1">
    <dataField name="Count of Gender" fld="3"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806F130-ABFF-4CFB-B244-1F7418B15795}" name="PivotTable16"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3">
  <location ref="A3:B6" firstHeaderRow="1" firstDataRow="1" firstDataCol="1"/>
  <pivotFields count="15">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dataField="1" compact="0" outline="0" showAll="0" defaultSubtotal="0">
      <items count="3">
        <item x="1"/>
        <item x="0"/>
        <item x="2"/>
      </items>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11"/>
  </rowFields>
  <rowItems count="3">
    <i>
      <x/>
    </i>
    <i>
      <x v="1"/>
    </i>
    <i>
      <x v="2"/>
    </i>
  </rowItems>
  <colItems count="1">
    <i/>
  </colItems>
  <dataFields count="1">
    <dataField name="Count of Region" fld="11"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23B1D76-92A9-482F-B40A-6EC0059EEBA6}" name="PivotTable19"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
  <location ref="A3:B7" firstHeaderRow="1" firstDataRow="1" firstDataCol="1"/>
  <pivotFields count="15">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dataField="1" compact="0" outline="0" showAll="0" defaultSubtotal="0">
      <items count="4">
        <item x="2"/>
        <item x="3"/>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10"/>
  </rowFields>
  <rowItems count="4">
    <i>
      <x/>
    </i>
    <i>
      <x v="1"/>
    </i>
    <i>
      <x v="2"/>
    </i>
    <i>
      <x v="3"/>
    </i>
  </rowItems>
  <colItems count="1">
    <i/>
  </colItems>
  <dataFields count="1">
    <dataField name="Count of Commute Distance" fld="1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03A55D0-5E0D-4764-997F-80B499738ADE}" name="PivotTable3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G14" firstHeaderRow="0" firstDataRow="0" firstDataCol="0"/>
  <pivotFields count="15">
    <pivotField showAll="0"/>
    <pivotField showAll="0"/>
    <pivotField axis="axisPage" showAll="0">
      <items count="3">
        <item x="0"/>
        <item x="1"/>
        <item t="default"/>
      </items>
    </pivotField>
    <pivotField axis="axisPage" showAll="0">
      <items count="3">
        <item x="1"/>
        <item x="0"/>
        <item t="default"/>
      </items>
    </pivotField>
    <pivotField numFmtId="165" showAll="0"/>
    <pivotField showAll="0"/>
    <pivotField axis="axisPage" showAll="0">
      <items count="5">
        <item x="0"/>
        <item x="1"/>
        <item x="3"/>
        <item x="2"/>
        <item t="default"/>
      </items>
    </pivotField>
    <pivotField showAll="0"/>
    <pivotField showAll="0"/>
    <pivotField showAll="0"/>
    <pivotField showAll="0"/>
    <pivotField axis="axisPage" showAll="0">
      <items count="4">
        <item x="1"/>
        <item x="0"/>
        <item x="2"/>
        <item t="default"/>
      </items>
    </pivotField>
    <pivotField numFmtId="1" showAll="0"/>
    <pivotField axis="axisPage" showAll="0">
      <items count="3">
        <item x="1"/>
        <item x="0"/>
        <item t="default"/>
      </items>
    </pivotField>
    <pivotField showAll="0"/>
  </pivotFields>
  <pageFields count="5">
    <pageField fld="3" hier="-1"/>
    <pageField fld="11" hier="-1"/>
    <pageField fld="6" hier="-1"/>
    <pageField fld="13" hier="-1"/>
    <pageField fld="2"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B392107C-A346-406E-81E9-5B292EB08F11}" sourceName="Marital Status">
  <pivotTables>
    <pivotTable tabId="1" name="PivotTable35"/>
  </pivotTables>
  <data>
    <tabular pivotCacheId="130460106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09C19C2-F5AF-49E4-B9FA-3C986CEC6A8B}" sourceName="Gender">
  <pivotTables>
    <pivotTable tabId="1" name="PivotTable35"/>
  </pivotTables>
  <data>
    <tabular pivotCacheId="1304601061">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6A564B78-DBBF-4603-98A9-E85F85371209}" sourceName="Education">
  <pivotTables>
    <pivotTable tabId="1" name="PivotTable35"/>
  </pivotTables>
  <data>
    <tabular pivotCacheId="1304601061">
      <items count="4">
        <i x="0" s="1"/>
        <i x="1"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565C15E-E8A8-444D-9F0B-006DC5528550}" sourceName="Region">
  <pivotTables>
    <pivotTable tabId="1" name="PivotTable35"/>
  </pivotTables>
  <data>
    <tabular pivotCacheId="1304601061">
      <items count="3">
        <i x="1" s="1"/>
        <i x="0"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d_Bike" xr10:uid="{58B4003C-1DA0-46DF-AC0C-EA19063C4B8E}" sourceName="Purchased Bike">
  <pivotTables>
    <pivotTable tabId="1" name="PivotTable35"/>
  </pivotTables>
  <data>
    <tabular pivotCacheId="130460106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64E4A50A-6AAF-4EAA-A8DA-FE1BDE945A78}" cache="Slicer_Marital_Status" caption="Marital Status" rowHeight="234950"/>
  <slicer name="Gender" xr10:uid="{583A6060-9383-4F38-853C-9A0CFDD65D68}" cache="Slicer_Gender" caption="Gender" rowHeight="234950"/>
  <slicer name="Education" xr10:uid="{7D3FA0FD-196A-498C-BE8C-6939C33ECF61}" cache="Slicer_Education" caption="Education" rowHeight="234950"/>
  <slicer name="Region" xr10:uid="{986EA060-C6F4-4B50-9F11-CA3992B858C5}" cache="Slicer_Region" caption="Region" rowHeight="234950"/>
  <slicer name="Purchased Bike" xr10:uid="{A295DA88-E816-44DF-8221-2024DE7F3E89}" cache="Slicer_Purchased_Bike" caption="Purchased Bik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1ACA736-FA91-44F1-ABB3-11DDC6E5E417}" name="Table3" displayName="Table3" ref="A3:O13" totalsRowShown="0">
  <autoFilter ref="A3:O13" xr:uid="{71ACA736-FA91-44F1-ABB3-11DDC6E5E417}"/>
  <tableColumns count="15">
    <tableColumn id="1" xr3:uid="{D1072730-348F-4391-B021-996F929E84CF}" name="Customer ID"/>
    <tableColumn id="2" xr3:uid="{453A5B12-DC21-43C7-9500-8444063F40BB}" name="Customer Name"/>
    <tableColumn id="3" xr3:uid="{E346A778-556F-4855-89D3-C9DEE8B26393}" name="Marital Status"/>
    <tableColumn id="4" xr3:uid="{F76DACD2-BFD7-4EBF-A064-0DE186BEA4AB}" name="Gender"/>
    <tableColumn id="5" xr3:uid="{1B53A13A-52C7-4555-B092-54ACA0E73303}" name="Income"/>
    <tableColumn id="6" xr3:uid="{F4822A1D-9AD9-4D21-ACE5-A53339D9298E}" name="Children"/>
    <tableColumn id="7" xr3:uid="{7668BF5E-2D20-4563-A313-571A994E9307}" name="Education"/>
    <tableColumn id="8" xr3:uid="{41480101-FEF3-498B-BFA2-FFC305E43CAA}" name="Occupation"/>
    <tableColumn id="9" xr3:uid="{2B5F9762-BD7C-4FFC-A1A7-1D11E6270347}" name="Home Owner"/>
    <tableColumn id="10" xr3:uid="{CE8230F2-1502-422A-9869-CB63B9BDF4DE}" name="Cars"/>
    <tableColumn id="11" xr3:uid="{4ACC508D-93AD-48D7-9500-56D22B2059C4}" name="Commute Distance"/>
    <tableColumn id="12" xr3:uid="{4DFCFD8F-560F-42DA-AF08-B4AC7D3DC79F}" name="Region"/>
    <tableColumn id="13" xr3:uid="{498BE628-2EC5-4F5A-8ACD-9528A2D68B17}" name="Age"/>
    <tableColumn id="14" xr3:uid="{36639BCF-ABE4-4949-9377-AB4CAFBBDB35}" name="Purchased Bike"/>
    <tableColumn id="15" xr3:uid="{1E58CB38-C5FC-4481-9C12-886ED4EEE803}" name="Age Group"/>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35F46D4-8D9A-4B74-9282-0F62012BB5D4}" name="Table1" displayName="Table1" ref="A1:O11" totalsRowShown="0" headerRowDxfId="16" dataDxfId="15">
  <autoFilter ref="A1:O11" xr:uid="{835F46D4-8D9A-4B74-9282-0F62012BB5D4}"/>
  <tableColumns count="15">
    <tableColumn id="1" xr3:uid="{06D68434-7017-465A-A543-298463C87B54}" name="Customer ID" dataDxfId="14"/>
    <tableColumn id="2" xr3:uid="{0EC96F72-03E3-42B1-A037-159A65DAC05F}" name="Customer Name" dataDxfId="13"/>
    <tableColumn id="3" xr3:uid="{E794B761-A264-4F03-81EF-48494E71AD03}" name="Marital Status" dataDxfId="12"/>
    <tableColumn id="4" xr3:uid="{65527D00-9009-4E74-B752-3431F22AD348}" name="Gender" dataDxfId="11"/>
    <tableColumn id="5" xr3:uid="{89749549-DE41-42FC-B847-5C53E34051DB}" name="Income" dataDxfId="10"/>
    <tableColumn id="6" xr3:uid="{F10C1D4B-4D96-4D9B-9AB8-D1BD71B8FD4A}" name="Children" dataDxfId="9"/>
    <tableColumn id="7" xr3:uid="{53B7E266-8375-4858-91CB-B693103039DD}" name="Education" dataDxfId="8"/>
    <tableColumn id="8" xr3:uid="{E553F483-0F1B-416A-9A84-7B5F7D5EEB7A}" name="Occupation" dataDxfId="7"/>
    <tableColumn id="9" xr3:uid="{E774FEE0-9784-4793-BA79-2088E1BCCF25}" name="Home Owner" dataDxfId="6"/>
    <tableColumn id="10" xr3:uid="{9B0536DE-7653-4096-B30D-19F6ADF7867C}" name="Cars" dataDxfId="5"/>
    <tableColumn id="11" xr3:uid="{3E478942-1DFB-4691-B400-14EE5E8C9B09}" name="Commute Distance" dataDxfId="4"/>
    <tableColumn id="12" xr3:uid="{3B7307DC-7590-4626-B6A2-DCE0FBB8D1A4}" name="Region" dataDxfId="3"/>
    <tableColumn id="13" xr3:uid="{7FA30B01-1E63-4EE0-8586-60C21782205A}" name="Age" dataDxfId="2"/>
    <tableColumn id="14" xr3:uid="{6CE5F973-6AF6-4173-B777-1CCC73F4587F}" name="Purchased Bike" dataDxfId="1"/>
    <tableColumn id="15" xr3:uid="{DAE78915-9C19-4624-A222-4479CC4E87A5}" name="Age Group" dataDxfId="0">
      <calculatedColumnFormula>IF(Table1[[#This Row],[Age]]&lt;31,"under 31",IF(Table1[[#This Row],[Age]]&lt;=54,"31-54","55+"))</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4.xml"/><Relationship Id="rId1" Type="http://schemas.openxmlformats.org/officeDocument/2006/relationships/pivotTable" Target="../pivotTables/pivotTable1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6C35A-12AC-4F26-95D8-04A6ED07E285}">
  <dimension ref="A1:O13"/>
  <sheetViews>
    <sheetView workbookViewId="0">
      <selection activeCell="K26" sqref="K26"/>
    </sheetView>
  </sheetViews>
  <sheetFormatPr defaultRowHeight="14.4" x14ac:dyDescent="0.3"/>
  <cols>
    <col min="1" max="1" width="13.5546875" bestFit="1" customWidth="1"/>
    <col min="2" max="2" width="16.88671875" bestFit="1" customWidth="1"/>
    <col min="3" max="3" width="14.88671875" bestFit="1" customWidth="1"/>
    <col min="4" max="4" width="9.33203125" bestFit="1" customWidth="1"/>
    <col min="5" max="5" width="9.5546875" bestFit="1" customWidth="1"/>
    <col min="6" max="6" width="10.21875" bestFit="1" customWidth="1"/>
    <col min="7" max="7" width="14.88671875" bestFit="1" customWidth="1"/>
    <col min="8" max="8" width="12.88671875" bestFit="1" customWidth="1"/>
    <col min="9" max="9" width="14.21875" bestFit="1" customWidth="1"/>
    <col min="10" max="10" width="9" bestFit="1" customWidth="1"/>
    <col min="11" max="11" width="19.21875" bestFit="1" customWidth="1"/>
    <col min="12" max="12" width="12.88671875" bestFit="1" customWidth="1"/>
    <col min="13" max="13" width="9" bestFit="1" customWidth="1"/>
    <col min="14" max="14" width="16.109375" bestFit="1" customWidth="1"/>
    <col min="15" max="15" width="12.109375" bestFit="1" customWidth="1"/>
  </cols>
  <sheetData>
    <row r="1" spans="1:15" x14ac:dyDescent="0.3">
      <c r="A1" s="9" t="s">
        <v>68</v>
      </c>
    </row>
    <row r="3" spans="1:15" x14ac:dyDescent="0.3">
      <c r="A3" t="s">
        <v>0</v>
      </c>
      <c r="B3" t="s">
        <v>1</v>
      </c>
      <c r="C3" t="s">
        <v>2</v>
      </c>
      <c r="D3" t="s">
        <v>3</v>
      </c>
      <c r="E3" t="s">
        <v>4</v>
      </c>
      <c r="F3" t="s">
        <v>5</v>
      </c>
      <c r="G3" t="s">
        <v>6</v>
      </c>
      <c r="H3" t="s">
        <v>7</v>
      </c>
      <c r="I3" t="s">
        <v>8</v>
      </c>
      <c r="J3" t="s">
        <v>9</v>
      </c>
      <c r="K3" t="s">
        <v>10</v>
      </c>
      <c r="L3" t="s">
        <v>11</v>
      </c>
      <c r="M3" t="s">
        <v>12</v>
      </c>
      <c r="N3" t="s">
        <v>13</v>
      </c>
      <c r="O3" t="s">
        <v>46</v>
      </c>
    </row>
    <row r="4" spans="1:15" x14ac:dyDescent="0.3">
      <c r="A4">
        <v>10002</v>
      </c>
      <c r="B4" t="s">
        <v>22</v>
      </c>
      <c r="C4" t="s">
        <v>23</v>
      </c>
      <c r="D4" t="s">
        <v>24</v>
      </c>
      <c r="E4">
        <v>48000</v>
      </c>
      <c r="F4">
        <v>0</v>
      </c>
      <c r="G4" t="s">
        <v>25</v>
      </c>
      <c r="H4" t="s">
        <v>26</v>
      </c>
      <c r="I4" t="s">
        <v>27</v>
      </c>
      <c r="J4">
        <v>0</v>
      </c>
      <c r="K4" t="s">
        <v>28</v>
      </c>
      <c r="L4" t="s">
        <v>29</v>
      </c>
      <c r="M4">
        <v>27</v>
      </c>
      <c r="N4" t="s">
        <v>27</v>
      </c>
      <c r="O4" t="s">
        <v>52</v>
      </c>
    </row>
    <row r="5" spans="1:15" x14ac:dyDescent="0.3">
      <c r="A5">
        <v>10004</v>
      </c>
      <c r="B5" t="s">
        <v>33</v>
      </c>
      <c r="C5" t="s">
        <v>23</v>
      </c>
      <c r="D5" t="s">
        <v>24</v>
      </c>
      <c r="E5">
        <v>55000</v>
      </c>
      <c r="F5">
        <v>0</v>
      </c>
      <c r="G5" t="s">
        <v>34</v>
      </c>
      <c r="H5" t="s">
        <v>18</v>
      </c>
      <c r="I5" t="s">
        <v>19</v>
      </c>
      <c r="J5">
        <v>1</v>
      </c>
      <c r="K5" t="s">
        <v>20</v>
      </c>
      <c r="L5" t="s">
        <v>35</v>
      </c>
      <c r="M5">
        <v>31</v>
      </c>
      <c r="N5" t="s">
        <v>27</v>
      </c>
      <c r="O5" t="s">
        <v>50</v>
      </c>
    </row>
    <row r="6" spans="1:15" x14ac:dyDescent="0.3">
      <c r="A6">
        <v>10006</v>
      </c>
      <c r="B6" t="s">
        <v>40</v>
      </c>
      <c r="C6" t="s">
        <v>23</v>
      </c>
      <c r="D6" t="s">
        <v>24</v>
      </c>
      <c r="E6">
        <v>39000</v>
      </c>
      <c r="F6">
        <v>0</v>
      </c>
      <c r="G6" t="s">
        <v>17</v>
      </c>
      <c r="H6" t="s">
        <v>26</v>
      </c>
      <c r="I6" t="s">
        <v>27</v>
      </c>
      <c r="J6">
        <v>1</v>
      </c>
      <c r="K6" t="s">
        <v>28</v>
      </c>
      <c r="L6" t="s">
        <v>35</v>
      </c>
      <c r="M6">
        <v>24</v>
      </c>
      <c r="N6" t="s">
        <v>27</v>
      </c>
      <c r="O6" t="s">
        <v>52</v>
      </c>
    </row>
    <row r="7" spans="1:15" x14ac:dyDescent="0.3">
      <c r="A7">
        <v>10008</v>
      </c>
      <c r="B7" t="s">
        <v>42</v>
      </c>
      <c r="C7" t="s">
        <v>23</v>
      </c>
      <c r="D7" t="s">
        <v>24</v>
      </c>
      <c r="E7">
        <v>62000</v>
      </c>
      <c r="F7">
        <v>1</v>
      </c>
      <c r="G7" t="s">
        <v>17</v>
      </c>
      <c r="H7" t="s">
        <v>18</v>
      </c>
      <c r="I7" t="s">
        <v>19</v>
      </c>
      <c r="J7">
        <v>1</v>
      </c>
      <c r="K7" t="s">
        <v>20</v>
      </c>
      <c r="L7" t="s">
        <v>29</v>
      </c>
      <c r="M7">
        <v>38</v>
      </c>
      <c r="N7" t="s">
        <v>19</v>
      </c>
      <c r="O7" t="s">
        <v>50</v>
      </c>
    </row>
    <row r="8" spans="1:15" x14ac:dyDescent="0.3">
      <c r="A8">
        <v>10010</v>
      </c>
      <c r="B8" t="s">
        <v>45</v>
      </c>
      <c r="C8" t="s">
        <v>23</v>
      </c>
      <c r="D8" t="s">
        <v>24</v>
      </c>
      <c r="E8">
        <v>70000</v>
      </c>
      <c r="F8">
        <v>0</v>
      </c>
      <c r="G8" t="s">
        <v>25</v>
      </c>
      <c r="H8" t="s">
        <v>18</v>
      </c>
      <c r="I8" t="s">
        <v>19</v>
      </c>
      <c r="J8">
        <v>2</v>
      </c>
      <c r="K8" t="s">
        <v>32</v>
      </c>
      <c r="L8" t="s">
        <v>21</v>
      </c>
      <c r="M8">
        <v>33</v>
      </c>
      <c r="N8" t="s">
        <v>19</v>
      </c>
      <c r="O8" t="s">
        <v>50</v>
      </c>
    </row>
    <row r="9" spans="1:15" x14ac:dyDescent="0.3">
      <c r="A9">
        <v>10009</v>
      </c>
      <c r="B9" t="s">
        <v>43</v>
      </c>
      <c r="C9" t="s">
        <v>15</v>
      </c>
      <c r="D9" t="s">
        <v>16</v>
      </c>
      <c r="E9">
        <v>47000</v>
      </c>
      <c r="F9">
        <v>2</v>
      </c>
      <c r="G9" t="s">
        <v>37</v>
      </c>
      <c r="H9" t="s">
        <v>44</v>
      </c>
      <c r="I9" t="s">
        <v>27</v>
      </c>
      <c r="J9">
        <v>1</v>
      </c>
      <c r="K9" t="s">
        <v>39</v>
      </c>
      <c r="L9" t="s">
        <v>35</v>
      </c>
      <c r="M9">
        <v>61</v>
      </c>
      <c r="N9" t="s">
        <v>27</v>
      </c>
      <c r="O9" t="s">
        <v>51</v>
      </c>
    </row>
    <row r="10" spans="1:15" x14ac:dyDescent="0.3">
      <c r="A10">
        <v>10001</v>
      </c>
      <c r="B10" t="s">
        <v>14</v>
      </c>
      <c r="C10" t="s">
        <v>15</v>
      </c>
      <c r="D10" t="s">
        <v>16</v>
      </c>
      <c r="E10">
        <v>65000</v>
      </c>
      <c r="F10">
        <v>2</v>
      </c>
      <c r="G10" t="s">
        <v>17</v>
      </c>
      <c r="H10" t="s">
        <v>18</v>
      </c>
      <c r="I10" t="s">
        <v>19</v>
      </c>
      <c r="J10">
        <v>1</v>
      </c>
      <c r="K10" t="s">
        <v>20</v>
      </c>
      <c r="L10" t="s">
        <v>21</v>
      </c>
      <c r="M10">
        <v>35</v>
      </c>
      <c r="N10" t="s">
        <v>19</v>
      </c>
      <c r="O10" t="s">
        <v>50</v>
      </c>
    </row>
    <row r="11" spans="1:15" x14ac:dyDescent="0.3">
      <c r="A11">
        <v>10003</v>
      </c>
      <c r="B11" t="s">
        <v>30</v>
      </c>
      <c r="C11" t="s">
        <v>15</v>
      </c>
      <c r="D11" t="s">
        <v>16</v>
      </c>
      <c r="E11">
        <v>82000</v>
      </c>
      <c r="F11">
        <v>1</v>
      </c>
      <c r="G11" t="s">
        <v>17</v>
      </c>
      <c r="H11" t="s">
        <v>31</v>
      </c>
      <c r="I11" t="s">
        <v>19</v>
      </c>
      <c r="J11">
        <v>2</v>
      </c>
      <c r="K11" t="s">
        <v>32</v>
      </c>
      <c r="L11" t="s">
        <v>21</v>
      </c>
      <c r="M11">
        <v>42</v>
      </c>
      <c r="N11" t="s">
        <v>19</v>
      </c>
      <c r="O11" t="s">
        <v>50</v>
      </c>
    </row>
    <row r="12" spans="1:15" x14ac:dyDescent="0.3">
      <c r="A12">
        <v>10005</v>
      </c>
      <c r="B12" t="s">
        <v>36</v>
      </c>
      <c r="C12" t="s">
        <v>15</v>
      </c>
      <c r="D12" t="s">
        <v>16</v>
      </c>
      <c r="E12">
        <v>72000</v>
      </c>
      <c r="F12">
        <v>3</v>
      </c>
      <c r="G12" t="s">
        <v>37</v>
      </c>
      <c r="H12" t="s">
        <v>38</v>
      </c>
      <c r="I12" t="s">
        <v>19</v>
      </c>
      <c r="J12">
        <v>2</v>
      </c>
      <c r="K12" t="s">
        <v>39</v>
      </c>
      <c r="L12" t="s">
        <v>29</v>
      </c>
      <c r="M12">
        <v>56</v>
      </c>
      <c r="N12" t="s">
        <v>19</v>
      </c>
      <c r="O12" t="s">
        <v>51</v>
      </c>
    </row>
    <row r="13" spans="1:15" x14ac:dyDescent="0.3">
      <c r="A13">
        <v>10007</v>
      </c>
      <c r="B13" t="s">
        <v>41</v>
      </c>
      <c r="C13" t="s">
        <v>15</v>
      </c>
      <c r="D13" t="s">
        <v>16</v>
      </c>
      <c r="E13">
        <v>91000</v>
      </c>
      <c r="F13">
        <v>2</v>
      </c>
      <c r="G13" t="s">
        <v>25</v>
      </c>
      <c r="H13" t="s">
        <v>31</v>
      </c>
      <c r="I13" t="s">
        <v>19</v>
      </c>
      <c r="J13">
        <v>2</v>
      </c>
      <c r="K13" t="s">
        <v>32</v>
      </c>
      <c r="L13" t="s">
        <v>21</v>
      </c>
      <c r="M13">
        <v>45</v>
      </c>
      <c r="N13" t="s">
        <v>19</v>
      </c>
      <c r="O13" t="s">
        <v>50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19A5F-1543-4A70-B053-D7E7073E5516}">
  <dimension ref="A2:J23"/>
  <sheetViews>
    <sheetView tabSelected="1" topLeftCell="A2" workbookViewId="0">
      <selection activeCell="E15" sqref="E15"/>
    </sheetView>
  </sheetViews>
  <sheetFormatPr defaultRowHeight="14.4" x14ac:dyDescent="0.3"/>
  <cols>
    <col min="1" max="1" width="30.44140625" bestFit="1" customWidth="1"/>
    <col min="2" max="2" width="15.5546875" bestFit="1" customWidth="1"/>
    <col min="3" max="3" width="6" bestFit="1" customWidth="1"/>
    <col min="4" max="4" width="10.77734375" bestFit="1" customWidth="1"/>
    <col min="5" max="5" width="10.6640625" bestFit="1" customWidth="1"/>
    <col min="6" max="6" width="8" bestFit="1" customWidth="1"/>
    <col min="7" max="7" width="40.44140625" bestFit="1" customWidth="1"/>
    <col min="8" max="8" width="15.5546875" bestFit="1" customWidth="1"/>
    <col min="9" max="9" width="6" bestFit="1" customWidth="1"/>
    <col min="10" max="10" width="10.77734375" bestFit="1" customWidth="1"/>
    <col min="11" max="11" width="10.6640625" bestFit="1" customWidth="1"/>
    <col min="12" max="12" width="8" bestFit="1" customWidth="1"/>
    <col min="13" max="13" width="10.6640625" bestFit="1" customWidth="1"/>
    <col min="14" max="14" width="8" bestFit="1" customWidth="1"/>
    <col min="15" max="15" width="10.6640625" bestFit="1" customWidth="1"/>
    <col min="16" max="16" width="8" bestFit="1" customWidth="1"/>
    <col min="17" max="17" width="10.6640625" bestFit="1" customWidth="1"/>
    <col min="18" max="18" width="8" bestFit="1" customWidth="1"/>
    <col min="19" max="19" width="10.6640625" bestFit="1" customWidth="1"/>
    <col min="20" max="20" width="8" bestFit="1" customWidth="1"/>
    <col min="21" max="21" width="10.6640625" bestFit="1" customWidth="1"/>
    <col min="22" max="22" width="10.77734375" bestFit="1" customWidth="1"/>
  </cols>
  <sheetData>
    <row r="2" spans="1:10" ht="18" x14ac:dyDescent="0.35">
      <c r="A2" s="10" t="s">
        <v>57</v>
      </c>
      <c r="G2" s="11" t="s">
        <v>56</v>
      </c>
    </row>
    <row r="3" spans="1:10" x14ac:dyDescent="0.3">
      <c r="A3" s="6" t="s">
        <v>69</v>
      </c>
      <c r="B3" s="6" t="s">
        <v>47</v>
      </c>
      <c r="G3" s="6" t="s">
        <v>55</v>
      </c>
      <c r="H3" s="6" t="s">
        <v>47</v>
      </c>
    </row>
    <row r="4" spans="1:10" x14ac:dyDescent="0.3">
      <c r="A4" s="6" t="s">
        <v>49</v>
      </c>
      <c r="B4" t="s">
        <v>27</v>
      </c>
      <c r="C4" t="s">
        <v>19</v>
      </c>
      <c r="D4" t="s">
        <v>48</v>
      </c>
      <c r="G4" s="6" t="s">
        <v>49</v>
      </c>
      <c r="H4" t="s">
        <v>27</v>
      </c>
      <c r="I4" t="s">
        <v>19</v>
      </c>
      <c r="J4" t="s">
        <v>48</v>
      </c>
    </row>
    <row r="5" spans="1:10" x14ac:dyDescent="0.3">
      <c r="A5" s="7" t="s">
        <v>50</v>
      </c>
      <c r="B5">
        <v>10004</v>
      </c>
      <c r="C5">
        <v>50029</v>
      </c>
      <c r="D5">
        <v>60033</v>
      </c>
      <c r="G5" s="7" t="s">
        <v>32</v>
      </c>
      <c r="I5">
        <v>30020</v>
      </c>
      <c r="J5">
        <v>30020</v>
      </c>
    </row>
    <row r="6" spans="1:10" x14ac:dyDescent="0.3">
      <c r="A6" s="7" t="s">
        <v>51</v>
      </c>
      <c r="B6">
        <v>10009</v>
      </c>
      <c r="C6">
        <v>10005</v>
      </c>
      <c r="D6">
        <v>20014</v>
      </c>
      <c r="G6" s="7" t="s">
        <v>39</v>
      </c>
      <c r="H6">
        <v>10009</v>
      </c>
      <c r="I6">
        <v>10005</v>
      </c>
      <c r="J6">
        <v>20014</v>
      </c>
    </row>
    <row r="7" spans="1:10" x14ac:dyDescent="0.3">
      <c r="A7" s="7" t="s">
        <v>52</v>
      </c>
      <c r="B7">
        <v>20008</v>
      </c>
      <c r="D7">
        <v>20008</v>
      </c>
      <c r="G7" s="7" t="s">
        <v>20</v>
      </c>
      <c r="H7">
        <v>10004</v>
      </c>
      <c r="I7">
        <v>20009</v>
      </c>
      <c r="J7">
        <v>30013</v>
      </c>
    </row>
    <row r="8" spans="1:10" x14ac:dyDescent="0.3">
      <c r="A8" s="7" t="s">
        <v>48</v>
      </c>
      <c r="B8">
        <v>40021</v>
      </c>
      <c r="C8">
        <v>60034</v>
      </c>
      <c r="D8">
        <v>100055</v>
      </c>
      <c r="G8" s="7" t="s">
        <v>28</v>
      </c>
      <c r="H8">
        <v>20008</v>
      </c>
      <c r="J8">
        <v>20008</v>
      </c>
    </row>
    <row r="9" spans="1:10" x14ac:dyDescent="0.3">
      <c r="G9" s="7" t="s">
        <v>48</v>
      </c>
      <c r="H9">
        <v>40021</v>
      </c>
      <c r="I9">
        <v>60034</v>
      </c>
      <c r="J9">
        <v>100055</v>
      </c>
    </row>
    <row r="10" spans="1:10" ht="18" x14ac:dyDescent="0.35">
      <c r="A10" s="11" t="s">
        <v>54</v>
      </c>
    </row>
    <row r="11" spans="1:10" ht="18" x14ac:dyDescent="0.35">
      <c r="A11" s="6" t="s">
        <v>69</v>
      </c>
      <c r="B11" s="6" t="s">
        <v>47</v>
      </c>
      <c r="G11" s="11" t="s">
        <v>58</v>
      </c>
    </row>
    <row r="12" spans="1:10" x14ac:dyDescent="0.3">
      <c r="A12" s="6" t="s">
        <v>49</v>
      </c>
      <c r="B12" t="s">
        <v>27</v>
      </c>
      <c r="C12" t="s">
        <v>19</v>
      </c>
      <c r="D12" t="s">
        <v>48</v>
      </c>
      <c r="G12" s="6" t="s">
        <v>69</v>
      </c>
      <c r="H12" s="6" t="s">
        <v>47</v>
      </c>
    </row>
    <row r="13" spans="1:10" x14ac:dyDescent="0.3">
      <c r="A13" s="7" t="s">
        <v>24</v>
      </c>
      <c r="B13">
        <v>30012</v>
      </c>
      <c r="C13">
        <v>20018</v>
      </c>
      <c r="D13">
        <v>50030</v>
      </c>
      <c r="G13" s="6" t="s">
        <v>49</v>
      </c>
      <c r="H13" t="s">
        <v>27</v>
      </c>
      <c r="I13" t="s">
        <v>19</v>
      </c>
      <c r="J13" t="s">
        <v>48</v>
      </c>
    </row>
    <row r="14" spans="1:10" x14ac:dyDescent="0.3">
      <c r="A14" s="7" t="s">
        <v>16</v>
      </c>
      <c r="B14">
        <v>10009</v>
      </c>
      <c r="C14">
        <v>40016</v>
      </c>
      <c r="D14">
        <v>50025</v>
      </c>
      <c r="G14" s="7" t="s">
        <v>26</v>
      </c>
      <c r="H14">
        <v>20008</v>
      </c>
      <c r="J14">
        <v>20008</v>
      </c>
    </row>
    <row r="15" spans="1:10" x14ac:dyDescent="0.3">
      <c r="A15" s="7" t="s">
        <v>48</v>
      </c>
      <c r="B15">
        <v>40021</v>
      </c>
      <c r="C15">
        <v>60034</v>
      </c>
      <c r="D15">
        <v>100055</v>
      </c>
      <c r="G15" s="7" t="s">
        <v>31</v>
      </c>
      <c r="I15">
        <v>20010</v>
      </c>
      <c r="J15">
        <v>20010</v>
      </c>
    </row>
    <row r="16" spans="1:10" x14ac:dyDescent="0.3">
      <c r="G16" s="7" t="s">
        <v>44</v>
      </c>
      <c r="H16">
        <v>10009</v>
      </c>
      <c r="J16">
        <v>10009</v>
      </c>
    </row>
    <row r="17" spans="1:10" ht="18" x14ac:dyDescent="0.35">
      <c r="A17" s="11" t="s">
        <v>55</v>
      </c>
      <c r="G17" s="7" t="s">
        <v>18</v>
      </c>
      <c r="H17">
        <v>10004</v>
      </c>
      <c r="I17">
        <v>30019</v>
      </c>
      <c r="J17">
        <v>40023</v>
      </c>
    </row>
    <row r="18" spans="1:10" x14ac:dyDescent="0.3">
      <c r="A18" s="6" t="s">
        <v>69</v>
      </c>
      <c r="B18" s="6" t="s">
        <v>47</v>
      </c>
      <c r="G18" s="7" t="s">
        <v>38</v>
      </c>
      <c r="I18">
        <v>10005</v>
      </c>
      <c r="J18">
        <v>10005</v>
      </c>
    </row>
    <row r="19" spans="1:10" x14ac:dyDescent="0.3">
      <c r="A19" s="6" t="s">
        <v>49</v>
      </c>
      <c r="B19" t="s">
        <v>27</v>
      </c>
      <c r="C19" t="s">
        <v>19</v>
      </c>
      <c r="D19" t="s">
        <v>48</v>
      </c>
      <c r="G19" s="7" t="s">
        <v>48</v>
      </c>
      <c r="H19">
        <v>40021</v>
      </c>
      <c r="I19">
        <v>60034</v>
      </c>
      <c r="J19">
        <v>100055</v>
      </c>
    </row>
    <row r="20" spans="1:10" x14ac:dyDescent="0.3">
      <c r="A20" s="7" t="s">
        <v>29</v>
      </c>
      <c r="B20">
        <v>10002</v>
      </c>
      <c r="C20">
        <v>20013</v>
      </c>
      <c r="D20">
        <v>30015</v>
      </c>
    </row>
    <row r="21" spans="1:10" x14ac:dyDescent="0.3">
      <c r="A21" s="7" t="s">
        <v>21</v>
      </c>
      <c r="C21">
        <v>40021</v>
      </c>
      <c r="D21">
        <v>40021</v>
      </c>
    </row>
    <row r="22" spans="1:10" x14ac:dyDescent="0.3">
      <c r="A22" s="7" t="s">
        <v>35</v>
      </c>
      <c r="B22">
        <v>30019</v>
      </c>
      <c r="D22">
        <v>30019</v>
      </c>
    </row>
    <row r="23" spans="1:10" x14ac:dyDescent="0.3">
      <c r="A23" s="7" t="s">
        <v>48</v>
      </c>
      <c r="B23">
        <v>40021</v>
      </c>
      <c r="C23">
        <v>60034</v>
      </c>
      <c r="D23">
        <v>100055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7FEE7-D5FF-44D1-9862-0E6FF82BBA27}">
  <dimension ref="A1:D6"/>
  <sheetViews>
    <sheetView workbookViewId="0">
      <selection activeCell="J16" sqref="J16"/>
    </sheetView>
  </sheetViews>
  <sheetFormatPr defaultRowHeight="14.4" x14ac:dyDescent="0.3"/>
  <cols>
    <col min="1" max="1" width="48.44140625" bestFit="1" customWidth="1"/>
    <col min="2" max="2" width="15.5546875" bestFit="1" customWidth="1"/>
    <col min="3" max="3" width="7.5546875" bestFit="1" customWidth="1"/>
    <col min="4" max="4" width="10.77734375" bestFit="1" customWidth="1"/>
  </cols>
  <sheetData>
    <row r="1" spans="1:4" ht="18" x14ac:dyDescent="0.35">
      <c r="A1" s="11" t="s">
        <v>59</v>
      </c>
    </row>
    <row r="2" spans="1:4" x14ac:dyDescent="0.3">
      <c r="A2" s="6" t="s">
        <v>53</v>
      </c>
      <c r="B2" s="6" t="s">
        <v>47</v>
      </c>
    </row>
    <row r="3" spans="1:4" x14ac:dyDescent="0.3">
      <c r="A3" s="6" t="s">
        <v>49</v>
      </c>
      <c r="B3" t="s">
        <v>27</v>
      </c>
      <c r="C3" t="s">
        <v>19</v>
      </c>
      <c r="D3" t="s">
        <v>48</v>
      </c>
    </row>
    <row r="4" spans="1:4" x14ac:dyDescent="0.3">
      <c r="A4" s="7" t="s">
        <v>24</v>
      </c>
      <c r="B4" s="8">
        <v>47333.333333333336</v>
      </c>
      <c r="C4" s="8">
        <v>66000</v>
      </c>
      <c r="D4" s="8">
        <v>54800</v>
      </c>
    </row>
    <row r="5" spans="1:4" x14ac:dyDescent="0.3">
      <c r="A5" s="7" t="s">
        <v>16</v>
      </c>
      <c r="B5" s="8">
        <v>47000</v>
      </c>
      <c r="C5" s="8">
        <v>77500</v>
      </c>
      <c r="D5" s="8">
        <v>71400</v>
      </c>
    </row>
    <row r="6" spans="1:4" x14ac:dyDescent="0.3">
      <c r="A6" s="7" t="s">
        <v>48</v>
      </c>
      <c r="B6" s="8">
        <v>47250</v>
      </c>
      <c r="C6" s="8">
        <v>73666.666666666672</v>
      </c>
      <c r="D6" s="8">
        <v>63100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409EA-9009-4B34-9595-D4513D37E5D3}">
  <dimension ref="A3:J6"/>
  <sheetViews>
    <sheetView workbookViewId="0">
      <selection activeCell="L3" sqref="L3"/>
    </sheetView>
  </sheetViews>
  <sheetFormatPr defaultRowHeight="14.4" x14ac:dyDescent="0.3"/>
  <cols>
    <col min="1" max="1" width="9.33203125" bestFit="1" customWidth="1"/>
    <col min="2" max="2" width="15" bestFit="1" customWidth="1"/>
    <col min="9" max="9" width="12.109375" bestFit="1" customWidth="1"/>
    <col min="10" max="10" width="17.88671875" bestFit="1" customWidth="1"/>
  </cols>
  <sheetData>
    <row r="3" spans="1:10" x14ac:dyDescent="0.3">
      <c r="A3" s="6" t="s">
        <v>3</v>
      </c>
      <c r="B3" t="s">
        <v>64</v>
      </c>
      <c r="I3" s="6" t="s">
        <v>46</v>
      </c>
      <c r="J3" t="s">
        <v>65</v>
      </c>
    </row>
    <row r="4" spans="1:10" x14ac:dyDescent="0.3">
      <c r="A4" t="s">
        <v>24</v>
      </c>
      <c r="B4">
        <v>5</v>
      </c>
      <c r="I4" t="s">
        <v>50</v>
      </c>
      <c r="J4">
        <v>6</v>
      </c>
    </row>
    <row r="5" spans="1:10" x14ac:dyDescent="0.3">
      <c r="A5" t="s">
        <v>16</v>
      </c>
      <c r="B5">
        <v>5</v>
      </c>
      <c r="I5" t="s">
        <v>51</v>
      </c>
      <c r="J5">
        <v>2</v>
      </c>
    </row>
    <row r="6" spans="1:10" x14ac:dyDescent="0.3">
      <c r="I6" t="s">
        <v>52</v>
      </c>
      <c r="J6">
        <v>2</v>
      </c>
    </row>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3CD49-D12C-45DE-B6D2-AEEB683BA1FF}">
  <dimension ref="A3:B6"/>
  <sheetViews>
    <sheetView workbookViewId="0">
      <selection activeCell="A3" sqref="A3"/>
    </sheetView>
  </sheetViews>
  <sheetFormatPr defaultRowHeight="14.4" x14ac:dyDescent="0.3"/>
  <cols>
    <col min="1" max="1" width="12.88671875" bestFit="1" customWidth="1"/>
    <col min="2" max="2" width="14.6640625" bestFit="1" customWidth="1"/>
  </cols>
  <sheetData>
    <row r="3" spans="1:2" x14ac:dyDescent="0.3">
      <c r="A3" s="6" t="s">
        <v>11</v>
      </c>
      <c r="B3" t="s">
        <v>66</v>
      </c>
    </row>
    <row r="4" spans="1:2" x14ac:dyDescent="0.3">
      <c r="A4" t="s">
        <v>29</v>
      </c>
      <c r="B4">
        <v>3</v>
      </c>
    </row>
    <row r="5" spans="1:2" x14ac:dyDescent="0.3">
      <c r="A5" t="s">
        <v>21</v>
      </c>
      <c r="B5">
        <v>4</v>
      </c>
    </row>
    <row r="6" spans="1:2" x14ac:dyDescent="0.3">
      <c r="A6" t="s">
        <v>35</v>
      </c>
      <c r="B6">
        <v>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B7B59-0ED8-4756-BBE3-8DA531825FC7}">
  <dimension ref="A3:B7"/>
  <sheetViews>
    <sheetView workbookViewId="0">
      <selection activeCell="O8" sqref="O8"/>
    </sheetView>
  </sheetViews>
  <sheetFormatPr defaultRowHeight="14.4" x14ac:dyDescent="0.3"/>
  <cols>
    <col min="1" max="1" width="19.21875" bestFit="1" customWidth="1"/>
    <col min="2" max="2" width="25" bestFit="1" customWidth="1"/>
  </cols>
  <sheetData>
    <row r="3" spans="1:2" x14ac:dyDescent="0.3">
      <c r="A3" s="6" t="s">
        <v>10</v>
      </c>
      <c r="B3" t="s">
        <v>67</v>
      </c>
    </row>
    <row r="4" spans="1:2" x14ac:dyDescent="0.3">
      <c r="A4" t="s">
        <v>32</v>
      </c>
      <c r="B4">
        <v>3</v>
      </c>
    </row>
    <row r="5" spans="1:2" x14ac:dyDescent="0.3">
      <c r="A5" t="s">
        <v>39</v>
      </c>
      <c r="B5">
        <v>2</v>
      </c>
    </row>
    <row r="6" spans="1:2" x14ac:dyDescent="0.3">
      <c r="A6" t="s">
        <v>20</v>
      </c>
      <c r="B6">
        <v>3</v>
      </c>
    </row>
    <row r="7" spans="1:2" x14ac:dyDescent="0.3">
      <c r="A7" t="s">
        <v>28</v>
      </c>
      <c r="B7">
        <v>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EBD88-789E-4B0A-89DE-F2B530C5828E}">
  <dimension ref="A1:O17"/>
  <sheetViews>
    <sheetView workbookViewId="0">
      <selection activeCell="M19" sqref="M19"/>
    </sheetView>
  </sheetViews>
  <sheetFormatPr defaultRowHeight="14.4" x14ac:dyDescent="0.3"/>
  <cols>
    <col min="1" max="1" width="15.77734375" bestFit="1" customWidth="1"/>
    <col min="2" max="2" width="19.109375" bestFit="1" customWidth="1"/>
    <col min="3" max="3" width="17.109375" bestFit="1" customWidth="1"/>
    <col min="4" max="4" width="11.5546875" bestFit="1" customWidth="1"/>
    <col min="5" max="5" width="11.77734375" bestFit="1" customWidth="1"/>
    <col min="6" max="6" width="9.88671875" customWidth="1"/>
    <col min="7" max="7" width="6.88671875" bestFit="1" customWidth="1"/>
    <col min="8" max="8" width="6.33203125" bestFit="1" customWidth="1"/>
    <col min="9" max="9" width="16.44140625" bestFit="1" customWidth="1"/>
    <col min="10" max="10" width="9" bestFit="1" customWidth="1"/>
    <col min="11" max="11" width="21.44140625" bestFit="1" customWidth="1"/>
    <col min="12" max="12" width="11.21875" bestFit="1" customWidth="1"/>
    <col min="13" max="13" width="8.6640625" bestFit="1" customWidth="1"/>
    <col min="14" max="14" width="18.33203125" bestFit="1" customWidth="1"/>
    <col min="15" max="15" width="10.6640625" bestFit="1" customWidth="1"/>
  </cols>
  <sheetData>
    <row r="1" spans="1:15" x14ac:dyDescent="0.3">
      <c r="A1" s="1" t="s">
        <v>0</v>
      </c>
      <c r="B1" s="1" t="s">
        <v>1</v>
      </c>
      <c r="C1" s="1" t="s">
        <v>2</v>
      </c>
      <c r="D1" s="1" t="s">
        <v>3</v>
      </c>
      <c r="E1" s="3" t="s">
        <v>4</v>
      </c>
      <c r="F1" s="1" t="s">
        <v>5</v>
      </c>
      <c r="G1" s="1" t="s">
        <v>6</v>
      </c>
      <c r="H1" s="1" t="s">
        <v>7</v>
      </c>
      <c r="I1" s="1" t="s">
        <v>8</v>
      </c>
      <c r="J1" s="1" t="s">
        <v>9</v>
      </c>
      <c r="K1" s="1" t="s">
        <v>10</v>
      </c>
      <c r="L1" s="1" t="s">
        <v>11</v>
      </c>
      <c r="M1" s="1" t="s">
        <v>12</v>
      </c>
      <c r="N1" s="1" t="s">
        <v>13</v>
      </c>
      <c r="O1" s="1" t="s">
        <v>46</v>
      </c>
    </row>
    <row r="2" spans="1:15" ht="28.8" x14ac:dyDescent="0.3">
      <c r="A2" s="2">
        <v>10001</v>
      </c>
      <c r="B2" s="2" t="s">
        <v>14</v>
      </c>
      <c r="C2" s="2" t="s">
        <v>15</v>
      </c>
      <c r="D2" s="2" t="s">
        <v>16</v>
      </c>
      <c r="E2" s="5">
        <v>65000</v>
      </c>
      <c r="F2" s="2">
        <v>2</v>
      </c>
      <c r="G2" s="2" t="s">
        <v>17</v>
      </c>
      <c r="H2" s="2" t="s">
        <v>18</v>
      </c>
      <c r="I2" s="2" t="s">
        <v>19</v>
      </c>
      <c r="J2" s="2">
        <v>1</v>
      </c>
      <c r="K2" s="2" t="s">
        <v>20</v>
      </c>
      <c r="L2" s="2" t="s">
        <v>21</v>
      </c>
      <c r="M2" s="4">
        <v>35</v>
      </c>
      <c r="N2" s="2" t="s">
        <v>19</v>
      </c>
      <c r="O2" s="2" t="str">
        <f>IF(Table1[[#This Row],[Age]]&lt;31,"under 31",IF(Table1[[#This Row],[Age]]&lt;=54,"31-54","55+"))</f>
        <v>31-54</v>
      </c>
    </row>
    <row r="3" spans="1:15" ht="43.2" x14ac:dyDescent="0.3">
      <c r="A3" s="2">
        <v>10002</v>
      </c>
      <c r="B3" s="2" t="s">
        <v>22</v>
      </c>
      <c r="C3" s="2" t="s">
        <v>23</v>
      </c>
      <c r="D3" s="2" t="s">
        <v>24</v>
      </c>
      <c r="E3" s="5">
        <v>48000</v>
      </c>
      <c r="F3" s="2">
        <v>0</v>
      </c>
      <c r="G3" s="2" t="s">
        <v>25</v>
      </c>
      <c r="H3" s="2" t="s">
        <v>26</v>
      </c>
      <c r="I3" s="2" t="s">
        <v>27</v>
      </c>
      <c r="J3" s="2">
        <v>0</v>
      </c>
      <c r="K3" s="2" t="s">
        <v>28</v>
      </c>
      <c r="L3" s="2" t="s">
        <v>29</v>
      </c>
      <c r="M3" s="4">
        <v>27</v>
      </c>
      <c r="N3" s="2" t="s">
        <v>27</v>
      </c>
      <c r="O3" s="2" t="str">
        <f>IF(Table1[[#This Row],[Age]]&lt;31,"under 31",IF(Table1[[#This Row],[Age]]&lt;=54,"31-54","55+"))</f>
        <v>under 31</v>
      </c>
    </row>
    <row r="4" spans="1:15" ht="43.2" x14ac:dyDescent="0.3">
      <c r="A4" s="2">
        <v>10003</v>
      </c>
      <c r="B4" s="2" t="s">
        <v>30</v>
      </c>
      <c r="C4" s="2" t="s">
        <v>15</v>
      </c>
      <c r="D4" s="2" t="s">
        <v>16</v>
      </c>
      <c r="E4" s="5">
        <v>82000</v>
      </c>
      <c r="F4" s="2">
        <v>1</v>
      </c>
      <c r="G4" s="2" t="s">
        <v>17</v>
      </c>
      <c r="H4" s="2" t="s">
        <v>31</v>
      </c>
      <c r="I4" s="2" t="s">
        <v>19</v>
      </c>
      <c r="J4" s="2">
        <v>2</v>
      </c>
      <c r="K4" s="2" t="s">
        <v>32</v>
      </c>
      <c r="L4" s="2" t="s">
        <v>21</v>
      </c>
      <c r="M4" s="4">
        <v>42</v>
      </c>
      <c r="N4" s="2" t="s">
        <v>19</v>
      </c>
      <c r="O4" s="2" t="str">
        <f>IF(Table1[[#This Row],[Age]]&lt;31,"under 31",IF(Table1[[#This Row],[Age]]&lt;=54,"31-54","55+"))</f>
        <v>31-54</v>
      </c>
    </row>
    <row r="5" spans="1:15" ht="43.2" x14ac:dyDescent="0.3">
      <c r="A5" s="2">
        <v>10004</v>
      </c>
      <c r="B5" s="2" t="s">
        <v>33</v>
      </c>
      <c r="C5" s="2" t="s">
        <v>23</v>
      </c>
      <c r="D5" s="2" t="s">
        <v>24</v>
      </c>
      <c r="E5" s="5">
        <v>55000</v>
      </c>
      <c r="F5" s="2">
        <v>0</v>
      </c>
      <c r="G5" s="2" t="s">
        <v>34</v>
      </c>
      <c r="H5" s="2" t="s">
        <v>18</v>
      </c>
      <c r="I5" s="2" t="s">
        <v>19</v>
      </c>
      <c r="J5" s="2">
        <v>1</v>
      </c>
      <c r="K5" s="2" t="s">
        <v>20</v>
      </c>
      <c r="L5" s="2" t="s">
        <v>35</v>
      </c>
      <c r="M5" s="4">
        <v>31</v>
      </c>
      <c r="N5" s="2" t="s">
        <v>27</v>
      </c>
      <c r="O5" s="2" t="str">
        <f>IF(Table1[[#This Row],[Age]]&lt;31,"under 31",IF(Table1[[#This Row],[Age]]&lt;=54,"31-54","55+"))</f>
        <v>31-54</v>
      </c>
    </row>
    <row r="6" spans="1:15" ht="43.2" x14ac:dyDescent="0.3">
      <c r="A6" s="2">
        <v>10005</v>
      </c>
      <c r="B6" s="2" t="s">
        <v>36</v>
      </c>
      <c r="C6" s="2" t="s">
        <v>15</v>
      </c>
      <c r="D6" s="2" t="s">
        <v>16</v>
      </c>
      <c r="E6" s="5">
        <v>72000</v>
      </c>
      <c r="F6" s="2">
        <v>3</v>
      </c>
      <c r="G6" s="2" t="s">
        <v>37</v>
      </c>
      <c r="H6" s="2" t="s">
        <v>38</v>
      </c>
      <c r="I6" s="2" t="s">
        <v>19</v>
      </c>
      <c r="J6" s="2">
        <v>2</v>
      </c>
      <c r="K6" s="2" t="s">
        <v>39</v>
      </c>
      <c r="L6" s="2" t="s">
        <v>29</v>
      </c>
      <c r="M6" s="4">
        <v>56</v>
      </c>
      <c r="N6" s="2" t="s">
        <v>19</v>
      </c>
      <c r="O6" s="2" t="str">
        <f>IF(Table1[[#This Row],[Age]]&lt;31,"under 31",IF(Table1[[#This Row],[Age]]&lt;=54,"31-54","55+"))</f>
        <v>55+</v>
      </c>
    </row>
    <row r="7" spans="1:15" ht="28.8" x14ac:dyDescent="0.3">
      <c r="A7" s="2">
        <v>10006</v>
      </c>
      <c r="B7" s="2" t="s">
        <v>40</v>
      </c>
      <c r="C7" s="2" t="s">
        <v>23</v>
      </c>
      <c r="D7" s="2" t="s">
        <v>24</v>
      </c>
      <c r="E7" s="5">
        <v>39000</v>
      </c>
      <c r="F7" s="2">
        <v>0</v>
      </c>
      <c r="G7" s="2" t="s">
        <v>17</v>
      </c>
      <c r="H7" s="2" t="s">
        <v>26</v>
      </c>
      <c r="I7" s="2" t="s">
        <v>27</v>
      </c>
      <c r="J7" s="2">
        <v>1</v>
      </c>
      <c r="K7" s="2" t="s">
        <v>28</v>
      </c>
      <c r="L7" s="2" t="s">
        <v>35</v>
      </c>
      <c r="M7" s="4">
        <v>24</v>
      </c>
      <c r="N7" s="2" t="s">
        <v>27</v>
      </c>
      <c r="O7" s="2" t="str">
        <f>IF(Table1[[#This Row],[Age]]&lt;31,"under 31",IF(Table1[[#This Row],[Age]]&lt;=54,"31-54","55+"))</f>
        <v>under 31</v>
      </c>
    </row>
    <row r="8" spans="1:15" ht="43.2" x14ac:dyDescent="0.3">
      <c r="A8" s="2">
        <v>10007</v>
      </c>
      <c r="B8" s="2" t="s">
        <v>41</v>
      </c>
      <c r="C8" s="2" t="s">
        <v>15</v>
      </c>
      <c r="D8" s="2" t="s">
        <v>16</v>
      </c>
      <c r="E8" s="5">
        <v>91000</v>
      </c>
      <c r="F8" s="2">
        <v>2</v>
      </c>
      <c r="G8" s="2" t="s">
        <v>25</v>
      </c>
      <c r="H8" s="2" t="s">
        <v>31</v>
      </c>
      <c r="I8" s="2" t="s">
        <v>19</v>
      </c>
      <c r="J8" s="2">
        <v>2</v>
      </c>
      <c r="K8" s="2" t="s">
        <v>32</v>
      </c>
      <c r="L8" s="2" t="s">
        <v>21</v>
      </c>
      <c r="M8" s="4">
        <v>45</v>
      </c>
      <c r="N8" s="2" t="s">
        <v>19</v>
      </c>
      <c r="O8" s="2" t="str">
        <f>IF(Table1[[#This Row],[Age]]&lt;31,"under 31",IF(Table1[[#This Row],[Age]]&lt;=54,"31-54","55+"))</f>
        <v>31-54</v>
      </c>
    </row>
    <row r="9" spans="1:15" ht="28.8" x14ac:dyDescent="0.3">
      <c r="A9" s="2">
        <v>10008</v>
      </c>
      <c r="B9" s="2" t="s">
        <v>42</v>
      </c>
      <c r="C9" s="2" t="s">
        <v>23</v>
      </c>
      <c r="D9" s="2" t="s">
        <v>24</v>
      </c>
      <c r="E9" s="5">
        <v>62000</v>
      </c>
      <c r="F9" s="2">
        <v>1</v>
      </c>
      <c r="G9" s="2" t="s">
        <v>17</v>
      </c>
      <c r="H9" s="2" t="s">
        <v>18</v>
      </c>
      <c r="I9" s="2" t="s">
        <v>19</v>
      </c>
      <c r="J9" s="2">
        <v>1</v>
      </c>
      <c r="K9" s="2" t="s">
        <v>20</v>
      </c>
      <c r="L9" s="2" t="s">
        <v>29</v>
      </c>
      <c r="M9" s="4">
        <v>38</v>
      </c>
      <c r="N9" s="2" t="s">
        <v>19</v>
      </c>
      <c r="O9" s="2" t="str">
        <f>IF(Table1[[#This Row],[Age]]&lt;31,"under 31",IF(Table1[[#This Row],[Age]]&lt;=54,"31-54","55+"))</f>
        <v>31-54</v>
      </c>
    </row>
    <row r="10" spans="1:15" ht="28.8" x14ac:dyDescent="0.3">
      <c r="A10" s="2">
        <v>10009</v>
      </c>
      <c r="B10" s="2" t="s">
        <v>43</v>
      </c>
      <c r="C10" s="2" t="s">
        <v>15</v>
      </c>
      <c r="D10" s="2" t="s">
        <v>16</v>
      </c>
      <c r="E10" s="5">
        <v>47000</v>
      </c>
      <c r="F10" s="2">
        <v>2</v>
      </c>
      <c r="G10" s="2" t="s">
        <v>37</v>
      </c>
      <c r="H10" s="2" t="s">
        <v>44</v>
      </c>
      <c r="I10" s="2" t="s">
        <v>27</v>
      </c>
      <c r="J10" s="2">
        <v>1</v>
      </c>
      <c r="K10" s="2" t="s">
        <v>39</v>
      </c>
      <c r="L10" s="2" t="s">
        <v>35</v>
      </c>
      <c r="M10" s="4">
        <v>61</v>
      </c>
      <c r="N10" s="2" t="s">
        <v>27</v>
      </c>
      <c r="O10" s="2" t="str">
        <f>IF(Table1[[#This Row],[Age]]&lt;31,"under 31",IF(Table1[[#This Row],[Age]]&lt;=54,"31-54","55+"))</f>
        <v>55+</v>
      </c>
    </row>
    <row r="11" spans="1:15" ht="43.2" x14ac:dyDescent="0.3">
      <c r="A11" s="2">
        <v>10010</v>
      </c>
      <c r="B11" s="2" t="s">
        <v>45</v>
      </c>
      <c r="C11" s="2" t="s">
        <v>23</v>
      </c>
      <c r="D11" s="2" t="s">
        <v>24</v>
      </c>
      <c r="E11" s="5">
        <v>70000</v>
      </c>
      <c r="F11" s="2">
        <v>0</v>
      </c>
      <c r="G11" s="2" t="s">
        <v>25</v>
      </c>
      <c r="H11" s="2" t="s">
        <v>18</v>
      </c>
      <c r="I11" s="2" t="s">
        <v>19</v>
      </c>
      <c r="J11" s="2">
        <v>2</v>
      </c>
      <c r="K11" s="2" t="s">
        <v>32</v>
      </c>
      <c r="L11" s="2" t="s">
        <v>21</v>
      </c>
      <c r="M11" s="4">
        <v>33</v>
      </c>
      <c r="N11" s="2" t="s">
        <v>19</v>
      </c>
      <c r="O11" s="2" t="str">
        <f>IF(Table1[[#This Row],[Age]]&lt;31,"under 31",IF(Table1[[#This Row],[Age]]&lt;=54,"31-54","55+"))</f>
        <v>31-54</v>
      </c>
    </row>
    <row r="14" spans="1:15" x14ac:dyDescent="0.3">
      <c r="B14" t="s">
        <v>60</v>
      </c>
      <c r="C14">
        <f>COUNTA(Table1[Customer ID])</f>
        <v>10</v>
      </c>
    </row>
    <row r="15" spans="1:15" x14ac:dyDescent="0.3">
      <c r="B15" t="s">
        <v>61</v>
      </c>
      <c r="C15">
        <f>COUNTIF(J2:J11, "yes")</f>
        <v>0</v>
      </c>
    </row>
    <row r="16" spans="1:15" s="12" customFormat="1" x14ac:dyDescent="0.3">
      <c r="B16" s="12" t="s">
        <v>62</v>
      </c>
      <c r="C16" s="13">
        <f ca="1">C16</f>
        <v>0</v>
      </c>
      <c r="G16"/>
      <c r="H16"/>
      <c r="I16"/>
    </row>
    <row r="17" spans="2:3" x14ac:dyDescent="0.3">
      <c r="B17" t="s">
        <v>63</v>
      </c>
      <c r="C17" s="8">
        <f>AVERAGE(E2:E11)</f>
        <v>63100</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5BA22-25B0-427B-9947-8ACD4CD96036}">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Detail1</vt:lpstr>
      <vt:lpstr>Sheet2</vt:lpstr>
      <vt:lpstr>Sheet6</vt:lpstr>
      <vt:lpstr>Sheet9</vt:lpstr>
      <vt:lpstr>Sheet11</vt:lpstr>
      <vt:lpstr>Sheet12</vt:lpstr>
      <vt:lpstr>Sheet1</vt:lpstr>
      <vt:lpstr>Sheet8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Anusha Chilakala</dc:creator>
  <cp:lastModifiedBy>Anusha Chilakala</cp:lastModifiedBy>
  <dcterms:created xsi:type="dcterms:W3CDTF">2026-09-27T06:06:10Z</dcterms:created>
  <dcterms:modified xsi:type="dcterms:W3CDTF">2026-09-27T08:23:58Z</dcterms:modified>
</cp:coreProperties>
</file>